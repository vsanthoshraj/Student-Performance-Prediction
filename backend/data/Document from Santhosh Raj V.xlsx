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Desktop\ALISHA\"/>
    </mc:Choice>
  </mc:AlternateContent>
  <xr:revisionPtr revIDLastSave="0" documentId="13_ncr:1_{80D1846F-0076-4539-96AC-E4316F2759A1}" xr6:coauthVersionLast="47" xr6:coauthVersionMax="47" xr10:uidLastSave="{00000000-0000-0000-0000-000000000000}"/>
  <bookViews>
    <workbookView xWindow="-120" yWindow="-120" windowWidth="21840" windowHeight="13140" tabRatio="759" firstSheet="8" activeTab="12" xr2:uid="{00000000-000D-0000-FFFF-FFFF00000000}"/>
  </bookViews>
  <sheets>
    <sheet name="BL-1" sheetId="10" r:id="rId1"/>
    <sheet name="BL-2" sheetId="17" r:id="rId2"/>
    <sheet name="BL-3" sheetId="18" r:id="rId3"/>
    <sheet name="I1" sheetId="22" r:id="rId4"/>
    <sheet name="I2" sheetId="23" r:id="rId5"/>
    <sheet name="I3" sheetId="27" r:id="rId6"/>
    <sheet name="IAT-1" sheetId="2" r:id="rId7"/>
    <sheet name="IAT-2" sheetId="3" r:id="rId8"/>
    <sheet name="IAT-3" sheetId="4" r:id="rId9"/>
    <sheet name="IAT-REPORT" sheetId="5" r:id="rId10"/>
    <sheet name="Sheet1" sheetId="28" r:id="rId11"/>
    <sheet name="RUBRICS" sheetId="26" r:id="rId12"/>
    <sheet name="UNIV" sheetId="20" r:id="rId13"/>
    <sheet name="COURSE END SURVEY" sheetId="7" r:id="rId14"/>
    <sheet name="OVERALL CO ATT" sheetId="14" r:id="rId15"/>
    <sheet name="END REPORT" sheetId="21" r:id="rId16"/>
    <sheet name="final" sheetId="16" r:id="rId17"/>
    <sheet name="CURR.GAP" sheetId="19" r:id="rId18"/>
  </sheets>
  <externalReferences>
    <externalReference r:id="rId19"/>
    <externalReference r:id="rId20"/>
  </externalReferences>
  <definedNames>
    <definedName name="_GoBack" localSheetId="3">'I1'!$C$50</definedName>
    <definedName name="_GoBack" localSheetId="4">'I2'!$C$50</definedName>
    <definedName name="OLE_LINK1" localSheetId="6">'IAT-1'!$A$14</definedName>
    <definedName name="OLE_LINK5" localSheetId="3">'I1'!$B$15</definedName>
    <definedName name="OLE_LINK5" localSheetId="4">'I2'!$B$15</definedName>
    <definedName name="_xlnm.Print_Area" localSheetId="15">'END REPORT'!$A$1:$G$36</definedName>
    <definedName name="_xlnm.Print_Area" localSheetId="3">'I1'!$A$1:$T$77</definedName>
    <definedName name="_xlnm.Print_Area" localSheetId="4">'I2'!$A$1:$T$77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8" i="20" l="1"/>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24" i="5"/>
  <c r="K8" i="5"/>
  <c r="J9" i="5"/>
  <c r="I23" i="5"/>
  <c r="J23" i="5"/>
  <c r="K23" i="5"/>
  <c r="L23" i="5"/>
  <c r="I24" i="5"/>
  <c r="J24" i="5"/>
  <c r="K24" i="5"/>
  <c r="L24" i="5"/>
  <c r="I25" i="5"/>
  <c r="J25" i="5"/>
  <c r="K25" i="5"/>
  <c r="L25" i="5"/>
  <c r="I26" i="5"/>
  <c r="J26" i="5"/>
  <c r="K26" i="5"/>
  <c r="L26" i="5"/>
  <c r="I27" i="5"/>
  <c r="J27" i="5"/>
  <c r="K27" i="5"/>
  <c r="L27" i="5"/>
  <c r="I28" i="5"/>
  <c r="J28" i="5"/>
  <c r="K28" i="5"/>
  <c r="L28" i="5"/>
  <c r="I29" i="5"/>
  <c r="J29" i="5"/>
  <c r="K29" i="5"/>
  <c r="L29" i="5"/>
  <c r="I30" i="5"/>
  <c r="J30" i="5"/>
  <c r="K30" i="5"/>
  <c r="L30" i="5"/>
  <c r="I31" i="5"/>
  <c r="J31" i="5"/>
  <c r="K31" i="5"/>
  <c r="L31" i="5"/>
  <c r="I32" i="5"/>
  <c r="J32" i="5"/>
  <c r="K32" i="5"/>
  <c r="L32" i="5"/>
  <c r="I33" i="5"/>
  <c r="J33" i="5"/>
  <c r="K33" i="5"/>
  <c r="L33" i="5"/>
  <c r="I34" i="5"/>
  <c r="J34" i="5"/>
  <c r="K34" i="5"/>
  <c r="L34" i="5"/>
  <c r="I35" i="5"/>
  <c r="J35" i="5"/>
  <c r="K35" i="5"/>
  <c r="L35" i="5"/>
  <c r="I36" i="5"/>
  <c r="J36" i="5"/>
  <c r="K36" i="5"/>
  <c r="L36" i="5"/>
  <c r="I37" i="5"/>
  <c r="J37" i="5"/>
  <c r="K37" i="5"/>
  <c r="L37" i="5"/>
  <c r="I38" i="5"/>
  <c r="J38" i="5"/>
  <c r="K38" i="5"/>
  <c r="L38" i="5"/>
  <c r="I39" i="5"/>
  <c r="J39" i="5"/>
  <c r="K39" i="5"/>
  <c r="L39" i="5"/>
  <c r="I40" i="5"/>
  <c r="J40" i="5"/>
  <c r="K40" i="5"/>
  <c r="L40" i="5"/>
  <c r="I41" i="5"/>
  <c r="J41" i="5"/>
  <c r="K41" i="5"/>
  <c r="L41" i="5"/>
  <c r="I42" i="5"/>
  <c r="J42" i="5"/>
  <c r="K42" i="5"/>
  <c r="L42" i="5"/>
  <c r="I43" i="5"/>
  <c r="J43" i="5"/>
  <c r="K43" i="5"/>
  <c r="L43" i="5"/>
  <c r="I44" i="5"/>
  <c r="J44" i="5"/>
  <c r="K44" i="5"/>
  <c r="L44" i="5"/>
  <c r="I45" i="5"/>
  <c r="J45" i="5"/>
  <c r="K45" i="5"/>
  <c r="L45" i="5"/>
  <c r="I46" i="5"/>
  <c r="J46" i="5"/>
  <c r="K46" i="5"/>
  <c r="L46" i="5"/>
  <c r="I47" i="5"/>
  <c r="J47" i="5"/>
  <c r="K47" i="5"/>
  <c r="L47" i="5"/>
  <c r="I48" i="5"/>
  <c r="J48" i="5"/>
  <c r="K48" i="5"/>
  <c r="L48" i="5"/>
  <c r="I49" i="5"/>
  <c r="J49" i="5"/>
  <c r="K49" i="5"/>
  <c r="L49" i="5"/>
  <c r="I50" i="5"/>
  <c r="J50" i="5"/>
  <c r="K50" i="5"/>
  <c r="L50" i="5"/>
  <c r="I51" i="5"/>
  <c r="J51" i="5"/>
  <c r="K51" i="5"/>
  <c r="L51" i="5"/>
  <c r="I52" i="5"/>
  <c r="J52" i="5"/>
  <c r="K52" i="5"/>
  <c r="L52" i="5"/>
  <c r="I53" i="5"/>
  <c r="J53" i="5"/>
  <c r="K53" i="5"/>
  <c r="L53" i="5"/>
  <c r="I54" i="5"/>
  <c r="J54" i="5"/>
  <c r="K54" i="5"/>
  <c r="L54" i="5"/>
  <c r="I55" i="5"/>
  <c r="J55" i="5"/>
  <c r="K55" i="5"/>
  <c r="L55" i="5"/>
  <c r="I56" i="5"/>
  <c r="J56" i="5"/>
  <c r="K56" i="5"/>
  <c r="L56" i="5"/>
  <c r="I57" i="5"/>
  <c r="J57" i="5"/>
  <c r="K57" i="5"/>
  <c r="L57" i="5"/>
  <c r="I58" i="5"/>
  <c r="J58" i="5"/>
  <c r="K58" i="5"/>
  <c r="L58" i="5"/>
  <c r="I59" i="5"/>
  <c r="J59" i="5"/>
  <c r="K59" i="5"/>
  <c r="L59" i="5"/>
  <c r="I60" i="5"/>
  <c r="J60" i="5"/>
  <c r="K60" i="5"/>
  <c r="L60" i="5"/>
  <c r="I61" i="5"/>
  <c r="J61" i="5"/>
  <c r="K61" i="5"/>
  <c r="L61" i="5"/>
  <c r="I62" i="5"/>
  <c r="J62" i="5"/>
  <c r="K62" i="5"/>
  <c r="L62" i="5"/>
  <c r="I63" i="5"/>
  <c r="J63" i="5"/>
  <c r="K63" i="5"/>
  <c r="L63" i="5"/>
  <c r="I64" i="5"/>
  <c r="J64" i="5"/>
  <c r="K64" i="5"/>
  <c r="L64" i="5"/>
  <c r="I65" i="5"/>
  <c r="J65" i="5"/>
  <c r="K65" i="5"/>
  <c r="L65" i="5"/>
  <c r="I66" i="5"/>
  <c r="J66" i="5"/>
  <c r="K66" i="5"/>
  <c r="L66" i="5"/>
  <c r="I67" i="5"/>
  <c r="J67" i="5"/>
  <c r="K67" i="5"/>
  <c r="L67" i="5"/>
  <c r="I68" i="5"/>
  <c r="J68" i="5"/>
  <c r="K68" i="5"/>
  <c r="L68" i="5"/>
  <c r="I69" i="5"/>
  <c r="J69" i="5"/>
  <c r="K69" i="5"/>
  <c r="L69" i="5"/>
  <c r="I70" i="5"/>
  <c r="J70" i="5"/>
  <c r="K70" i="5"/>
  <c r="L70" i="5"/>
  <c r="I71" i="5"/>
  <c r="J71" i="5"/>
  <c r="K71" i="5"/>
  <c r="L71" i="5"/>
  <c r="I72" i="5"/>
  <c r="J72" i="5"/>
  <c r="K72" i="5"/>
  <c r="L72" i="5"/>
  <c r="I73" i="5"/>
  <c r="J73" i="5"/>
  <c r="K73" i="5"/>
  <c r="L73" i="5"/>
  <c r="I74" i="5"/>
  <c r="J74" i="5"/>
  <c r="K74" i="5"/>
  <c r="L74" i="5"/>
  <c r="I75" i="5"/>
  <c r="J75" i="5"/>
  <c r="K75" i="5"/>
  <c r="L75" i="5"/>
  <c r="I76" i="5"/>
  <c r="J76" i="5"/>
  <c r="K76" i="5"/>
  <c r="L76" i="5"/>
  <c r="I77" i="5"/>
  <c r="J77" i="5"/>
  <c r="K77" i="5"/>
  <c r="L77" i="5"/>
  <c r="I78" i="5"/>
  <c r="J78" i="5"/>
  <c r="K78" i="5"/>
  <c r="L78" i="5"/>
  <c r="I79" i="5"/>
  <c r="J79" i="5"/>
  <c r="K79" i="5"/>
  <c r="L79" i="5"/>
  <c r="I80" i="5"/>
  <c r="J80" i="5"/>
  <c r="K80" i="5"/>
  <c r="L80" i="5"/>
  <c r="I81" i="5"/>
  <c r="J81" i="5"/>
  <c r="K81" i="5"/>
  <c r="L81" i="5"/>
  <c r="O50" i="21" l="1"/>
  <c r="C61" i="7"/>
  <c r="D61" i="7"/>
  <c r="F23" i="5"/>
  <c r="G23" i="5"/>
  <c r="H23" i="5"/>
  <c r="M23" i="5"/>
  <c r="N23" i="5"/>
  <c r="O23" i="5"/>
  <c r="C24" i="5"/>
  <c r="D24" i="5"/>
  <c r="F24" i="5"/>
  <c r="P23" i="5" s="1"/>
  <c r="G24" i="5"/>
  <c r="Q23" i="5" s="1"/>
  <c r="H24" i="5"/>
  <c r="M24" i="5"/>
  <c r="N24" i="5"/>
  <c r="S23" i="5" s="1"/>
  <c r="O24" i="5"/>
  <c r="T23" i="5" s="1"/>
  <c r="C25" i="5"/>
  <c r="D25" i="5"/>
  <c r="F25" i="5"/>
  <c r="P24" i="5" s="1"/>
  <c r="G25" i="5"/>
  <c r="Q24" i="5" s="1"/>
  <c r="H25" i="5"/>
  <c r="M25" i="5"/>
  <c r="N25" i="5"/>
  <c r="S24" i="5" s="1"/>
  <c r="O25" i="5"/>
  <c r="T24" i="5" s="1"/>
  <c r="C26" i="5"/>
  <c r="D26" i="5"/>
  <c r="F26" i="5"/>
  <c r="P25" i="5" s="1"/>
  <c r="G26" i="5"/>
  <c r="Q25" i="5" s="1"/>
  <c r="H26" i="5"/>
  <c r="M26" i="5"/>
  <c r="N26" i="5"/>
  <c r="S25" i="5" s="1"/>
  <c r="O26" i="5"/>
  <c r="T25" i="5" s="1"/>
  <c r="C27" i="5"/>
  <c r="D27" i="5"/>
  <c r="F27" i="5"/>
  <c r="P26" i="5" s="1"/>
  <c r="G27" i="5"/>
  <c r="Q26" i="5" s="1"/>
  <c r="H27" i="5"/>
  <c r="M27" i="5"/>
  <c r="N27" i="5"/>
  <c r="S26" i="5" s="1"/>
  <c r="O27" i="5"/>
  <c r="T26" i="5" s="1"/>
  <c r="C28" i="5"/>
  <c r="D28" i="5"/>
  <c r="F28" i="5"/>
  <c r="P27" i="5" s="1"/>
  <c r="G28" i="5"/>
  <c r="Q27" i="5" s="1"/>
  <c r="H28" i="5"/>
  <c r="M28" i="5"/>
  <c r="N28" i="5"/>
  <c r="S27" i="5" s="1"/>
  <c r="O28" i="5"/>
  <c r="T27" i="5" s="1"/>
  <c r="C29" i="5"/>
  <c r="D29" i="5"/>
  <c r="F29" i="5"/>
  <c r="P28" i="5" s="1"/>
  <c r="G29" i="5"/>
  <c r="Q28" i="5" s="1"/>
  <c r="H29" i="5"/>
  <c r="M29" i="5"/>
  <c r="N29" i="5"/>
  <c r="S28" i="5" s="1"/>
  <c r="O29" i="5"/>
  <c r="T28" i="5" s="1"/>
  <c r="C30" i="5"/>
  <c r="D30" i="5"/>
  <c r="F30" i="5"/>
  <c r="P29" i="5" s="1"/>
  <c r="G30" i="5"/>
  <c r="Q29" i="5" s="1"/>
  <c r="H30" i="5"/>
  <c r="M30" i="5"/>
  <c r="N30" i="5"/>
  <c r="S29" i="5" s="1"/>
  <c r="O30" i="5"/>
  <c r="T29" i="5" s="1"/>
  <c r="C31" i="5"/>
  <c r="D31" i="5"/>
  <c r="F31" i="5"/>
  <c r="P30" i="5" s="1"/>
  <c r="G31" i="5"/>
  <c r="Q30" i="5" s="1"/>
  <c r="H31" i="5"/>
  <c r="M31" i="5"/>
  <c r="N31" i="5"/>
  <c r="S30" i="5" s="1"/>
  <c r="O31" i="5"/>
  <c r="T30" i="5" s="1"/>
  <c r="C32" i="5"/>
  <c r="D32" i="5"/>
  <c r="F32" i="5"/>
  <c r="P31" i="5" s="1"/>
  <c r="G32" i="5"/>
  <c r="Q31" i="5" s="1"/>
  <c r="H32" i="5"/>
  <c r="M32" i="5"/>
  <c r="N32" i="5"/>
  <c r="S31" i="5" s="1"/>
  <c r="O32" i="5"/>
  <c r="T31" i="5" s="1"/>
  <c r="C33" i="5"/>
  <c r="D33" i="5"/>
  <c r="F33" i="5"/>
  <c r="P32" i="5" s="1"/>
  <c r="G33" i="5"/>
  <c r="Q32" i="5" s="1"/>
  <c r="H33" i="5"/>
  <c r="M33" i="5"/>
  <c r="N33" i="5"/>
  <c r="S32" i="5" s="1"/>
  <c r="O33" i="5"/>
  <c r="T32" i="5" s="1"/>
  <c r="C34" i="5"/>
  <c r="D34" i="5"/>
  <c r="F34" i="5"/>
  <c r="P33" i="5" s="1"/>
  <c r="G34" i="5"/>
  <c r="Q33" i="5" s="1"/>
  <c r="H34" i="5"/>
  <c r="M34" i="5"/>
  <c r="N34" i="5"/>
  <c r="S33" i="5" s="1"/>
  <c r="O34" i="5"/>
  <c r="T33" i="5" s="1"/>
  <c r="C35" i="5"/>
  <c r="D35" i="5"/>
  <c r="F35" i="5"/>
  <c r="P34" i="5" s="1"/>
  <c r="G35" i="5"/>
  <c r="Q34" i="5" s="1"/>
  <c r="H35" i="5"/>
  <c r="M35" i="5"/>
  <c r="N35" i="5"/>
  <c r="S34" i="5" s="1"/>
  <c r="O35" i="5"/>
  <c r="T34" i="5" s="1"/>
  <c r="C36" i="5"/>
  <c r="D36" i="5"/>
  <c r="F36" i="5"/>
  <c r="P35" i="5" s="1"/>
  <c r="G36" i="5"/>
  <c r="Q35" i="5" s="1"/>
  <c r="H36" i="5"/>
  <c r="M36" i="5"/>
  <c r="N36" i="5"/>
  <c r="S35" i="5" s="1"/>
  <c r="O36" i="5"/>
  <c r="T35" i="5" s="1"/>
  <c r="C37" i="5"/>
  <c r="D37" i="5"/>
  <c r="F37" i="5"/>
  <c r="P36" i="5" s="1"/>
  <c r="G37" i="5"/>
  <c r="Q36" i="5" s="1"/>
  <c r="H37" i="5"/>
  <c r="M37" i="5"/>
  <c r="N37" i="5"/>
  <c r="S36" i="5" s="1"/>
  <c r="O37" i="5"/>
  <c r="T36" i="5" s="1"/>
  <c r="C38" i="5"/>
  <c r="D38" i="5"/>
  <c r="F38" i="5"/>
  <c r="P37" i="5" s="1"/>
  <c r="G38" i="5"/>
  <c r="Q37" i="5" s="1"/>
  <c r="H38" i="5"/>
  <c r="M38" i="5"/>
  <c r="N38" i="5"/>
  <c r="S37" i="5" s="1"/>
  <c r="O38" i="5"/>
  <c r="T37" i="5" s="1"/>
  <c r="C39" i="5"/>
  <c r="D39" i="5"/>
  <c r="F39" i="5"/>
  <c r="P38" i="5" s="1"/>
  <c r="G39" i="5"/>
  <c r="Q38" i="5" s="1"/>
  <c r="H39" i="5"/>
  <c r="M39" i="5"/>
  <c r="N39" i="5"/>
  <c r="S38" i="5" s="1"/>
  <c r="O39" i="5"/>
  <c r="T38" i="5" s="1"/>
  <c r="C40" i="5"/>
  <c r="D40" i="5"/>
  <c r="F40" i="5"/>
  <c r="P39" i="5" s="1"/>
  <c r="G40" i="5"/>
  <c r="Q39" i="5" s="1"/>
  <c r="H40" i="5"/>
  <c r="M40" i="5"/>
  <c r="N40" i="5"/>
  <c r="S39" i="5" s="1"/>
  <c r="O40" i="5"/>
  <c r="T39" i="5" s="1"/>
  <c r="C41" i="5"/>
  <c r="D41" i="5"/>
  <c r="F41" i="5"/>
  <c r="P40" i="5" s="1"/>
  <c r="G41" i="5"/>
  <c r="Q40" i="5" s="1"/>
  <c r="H41" i="5"/>
  <c r="M41" i="5"/>
  <c r="N41" i="5"/>
  <c r="S40" i="5" s="1"/>
  <c r="O41" i="5"/>
  <c r="T40" i="5" s="1"/>
  <c r="C42" i="5"/>
  <c r="D42" i="5"/>
  <c r="F42" i="5"/>
  <c r="P41" i="5" s="1"/>
  <c r="G42" i="5"/>
  <c r="Q41" i="5" s="1"/>
  <c r="H42" i="5"/>
  <c r="M42" i="5"/>
  <c r="N42" i="5"/>
  <c r="S41" i="5" s="1"/>
  <c r="O42" i="5"/>
  <c r="T41" i="5" s="1"/>
  <c r="C43" i="5"/>
  <c r="D43" i="5"/>
  <c r="F43" i="5"/>
  <c r="P42" i="5" s="1"/>
  <c r="G43" i="5"/>
  <c r="Q42" i="5" s="1"/>
  <c r="H43" i="5"/>
  <c r="M43" i="5"/>
  <c r="N43" i="5"/>
  <c r="S42" i="5" s="1"/>
  <c r="O43" i="5"/>
  <c r="T42" i="5" s="1"/>
  <c r="C44" i="5"/>
  <c r="D44" i="5"/>
  <c r="F44" i="5"/>
  <c r="P43" i="5" s="1"/>
  <c r="G44" i="5"/>
  <c r="Q43" i="5" s="1"/>
  <c r="H44" i="5"/>
  <c r="M44" i="5"/>
  <c r="N44" i="5"/>
  <c r="S43" i="5" s="1"/>
  <c r="O44" i="5"/>
  <c r="T43" i="5" s="1"/>
  <c r="C45" i="5"/>
  <c r="D45" i="5"/>
  <c r="F45" i="5"/>
  <c r="P44" i="5" s="1"/>
  <c r="G45" i="5"/>
  <c r="Q44" i="5" s="1"/>
  <c r="H45" i="5"/>
  <c r="M45" i="5"/>
  <c r="N45" i="5"/>
  <c r="S44" i="5" s="1"/>
  <c r="O45" i="5"/>
  <c r="T44" i="5" s="1"/>
  <c r="C46" i="5"/>
  <c r="D46" i="5"/>
  <c r="F46" i="5"/>
  <c r="P45" i="5" s="1"/>
  <c r="G46" i="5"/>
  <c r="Q45" i="5" s="1"/>
  <c r="H46" i="5"/>
  <c r="M46" i="5"/>
  <c r="N46" i="5"/>
  <c r="S45" i="5" s="1"/>
  <c r="O46" i="5"/>
  <c r="T45" i="5" s="1"/>
  <c r="C47" i="5"/>
  <c r="D47" i="5"/>
  <c r="F47" i="5"/>
  <c r="P46" i="5" s="1"/>
  <c r="G47" i="5"/>
  <c r="Q46" i="5" s="1"/>
  <c r="H47" i="5"/>
  <c r="M47" i="5"/>
  <c r="N47" i="5"/>
  <c r="S46" i="5" s="1"/>
  <c r="O47" i="5"/>
  <c r="T46" i="5" s="1"/>
  <c r="C48" i="5"/>
  <c r="D48" i="5"/>
  <c r="F48" i="5"/>
  <c r="P47" i="5" s="1"/>
  <c r="G48" i="5"/>
  <c r="Q47" i="5" s="1"/>
  <c r="H48" i="5"/>
  <c r="M48" i="5"/>
  <c r="N48" i="5"/>
  <c r="S47" i="5" s="1"/>
  <c r="O48" i="5"/>
  <c r="T47" i="5" s="1"/>
  <c r="C49" i="5"/>
  <c r="D49" i="5"/>
  <c r="F49" i="5"/>
  <c r="P48" i="5" s="1"/>
  <c r="G49" i="5"/>
  <c r="Q48" i="5" s="1"/>
  <c r="H49" i="5"/>
  <c r="M49" i="5"/>
  <c r="N49" i="5"/>
  <c r="S48" i="5" s="1"/>
  <c r="O49" i="5"/>
  <c r="T48" i="5" s="1"/>
  <c r="C50" i="5"/>
  <c r="D50" i="5"/>
  <c r="F50" i="5"/>
  <c r="P49" i="5" s="1"/>
  <c r="G50" i="5"/>
  <c r="Q49" i="5" s="1"/>
  <c r="H50" i="5"/>
  <c r="M50" i="5"/>
  <c r="N50" i="5"/>
  <c r="S49" i="5" s="1"/>
  <c r="O50" i="5"/>
  <c r="T49" i="5" s="1"/>
  <c r="C51" i="5"/>
  <c r="D51" i="5"/>
  <c r="F51" i="5"/>
  <c r="G51" i="5"/>
  <c r="Q50" i="5" s="1"/>
  <c r="H51" i="5"/>
  <c r="M51" i="5"/>
  <c r="N51" i="5"/>
  <c r="O51" i="5"/>
  <c r="T50" i="5" s="1"/>
  <c r="C52" i="5"/>
  <c r="D52" i="5"/>
  <c r="F52" i="5"/>
  <c r="P51" i="5" s="1"/>
  <c r="G52" i="5"/>
  <c r="Q51" i="5" s="1"/>
  <c r="H52" i="5"/>
  <c r="M52" i="5"/>
  <c r="N52" i="5"/>
  <c r="S51" i="5" s="1"/>
  <c r="O52" i="5"/>
  <c r="T51" i="5" s="1"/>
  <c r="C53" i="5"/>
  <c r="D53" i="5"/>
  <c r="F53" i="5"/>
  <c r="P52" i="5" s="1"/>
  <c r="G53" i="5"/>
  <c r="Q52" i="5" s="1"/>
  <c r="H53" i="5"/>
  <c r="M53" i="5"/>
  <c r="N53" i="5"/>
  <c r="S52" i="5" s="1"/>
  <c r="O53" i="5"/>
  <c r="T52" i="5" s="1"/>
  <c r="C54" i="5"/>
  <c r="D54" i="5"/>
  <c r="F54" i="5"/>
  <c r="P53" i="5" s="1"/>
  <c r="G54" i="5"/>
  <c r="Q53" i="5" s="1"/>
  <c r="H54" i="5"/>
  <c r="M54" i="5"/>
  <c r="N54" i="5"/>
  <c r="S53" i="5" s="1"/>
  <c r="O54" i="5"/>
  <c r="T53" i="5" s="1"/>
  <c r="C55" i="5"/>
  <c r="D55" i="5"/>
  <c r="F55" i="5"/>
  <c r="P54" i="5" s="1"/>
  <c r="G55" i="5"/>
  <c r="Q54" i="5" s="1"/>
  <c r="H55" i="5"/>
  <c r="M55" i="5"/>
  <c r="N55" i="5"/>
  <c r="S54" i="5" s="1"/>
  <c r="O55" i="5"/>
  <c r="T54" i="5" s="1"/>
  <c r="C56" i="5"/>
  <c r="D56" i="5"/>
  <c r="F56" i="5"/>
  <c r="P55" i="5" s="1"/>
  <c r="G56" i="5"/>
  <c r="Q55" i="5" s="1"/>
  <c r="H56" i="5"/>
  <c r="M56" i="5"/>
  <c r="N56" i="5"/>
  <c r="S55" i="5" s="1"/>
  <c r="O56" i="5"/>
  <c r="T55" i="5" s="1"/>
  <c r="C57" i="5"/>
  <c r="D57" i="5"/>
  <c r="F57" i="5"/>
  <c r="P56" i="5" s="1"/>
  <c r="G57" i="5"/>
  <c r="Q56" i="5" s="1"/>
  <c r="H57" i="5"/>
  <c r="M57" i="5"/>
  <c r="N57" i="5"/>
  <c r="S56" i="5" s="1"/>
  <c r="O57" i="5"/>
  <c r="T56" i="5" s="1"/>
  <c r="C58" i="5"/>
  <c r="D58" i="5"/>
  <c r="F58" i="5"/>
  <c r="P57" i="5" s="1"/>
  <c r="G58" i="5"/>
  <c r="Q57" i="5" s="1"/>
  <c r="H58" i="5"/>
  <c r="M58" i="5"/>
  <c r="N58" i="5"/>
  <c r="S57" i="5" s="1"/>
  <c r="O58" i="5"/>
  <c r="T57" i="5" s="1"/>
  <c r="C59" i="5"/>
  <c r="D59" i="5"/>
  <c r="F59" i="5"/>
  <c r="P58" i="5" s="1"/>
  <c r="G59" i="5"/>
  <c r="Q58" i="5" s="1"/>
  <c r="H59" i="5"/>
  <c r="M59" i="5"/>
  <c r="N59" i="5"/>
  <c r="S58" i="5" s="1"/>
  <c r="O59" i="5"/>
  <c r="T58" i="5" s="1"/>
  <c r="C60" i="5"/>
  <c r="D60" i="5"/>
  <c r="F60" i="5"/>
  <c r="P59" i="5" s="1"/>
  <c r="G60" i="5"/>
  <c r="Q59" i="5" s="1"/>
  <c r="H60" i="5"/>
  <c r="M60" i="5"/>
  <c r="N60" i="5"/>
  <c r="S59" i="5" s="1"/>
  <c r="O60" i="5"/>
  <c r="T59" i="5" s="1"/>
  <c r="C61" i="5"/>
  <c r="D61" i="5"/>
  <c r="F61" i="5"/>
  <c r="P60" i="5" s="1"/>
  <c r="G61" i="5"/>
  <c r="Q60" i="5" s="1"/>
  <c r="H61" i="5"/>
  <c r="M61" i="5"/>
  <c r="N61" i="5"/>
  <c r="S60" i="5" s="1"/>
  <c r="O61" i="5"/>
  <c r="T60" i="5" s="1"/>
  <c r="C62" i="5"/>
  <c r="D62" i="5"/>
  <c r="F62" i="5"/>
  <c r="P61" i="5" s="1"/>
  <c r="G62" i="5"/>
  <c r="Q61" i="5" s="1"/>
  <c r="H62" i="5"/>
  <c r="M62" i="5"/>
  <c r="N62" i="5"/>
  <c r="S61" i="5" s="1"/>
  <c r="O62" i="5"/>
  <c r="T61" i="5" s="1"/>
  <c r="C63" i="5"/>
  <c r="D63" i="5"/>
  <c r="F63" i="5"/>
  <c r="P62" i="5" s="1"/>
  <c r="G63" i="5"/>
  <c r="Q62" i="5" s="1"/>
  <c r="H63" i="5"/>
  <c r="M63" i="5"/>
  <c r="N63" i="5"/>
  <c r="S62" i="5" s="1"/>
  <c r="O63" i="5"/>
  <c r="T62" i="5" s="1"/>
  <c r="C64" i="5"/>
  <c r="D64" i="5"/>
  <c r="F64" i="5"/>
  <c r="P63" i="5" s="1"/>
  <c r="G64" i="5"/>
  <c r="Q63" i="5" s="1"/>
  <c r="H64" i="5"/>
  <c r="M64" i="5"/>
  <c r="N64" i="5"/>
  <c r="S63" i="5" s="1"/>
  <c r="O64" i="5"/>
  <c r="T63" i="5" s="1"/>
  <c r="C65" i="5"/>
  <c r="D65" i="5"/>
  <c r="F65" i="5"/>
  <c r="P64" i="5" s="1"/>
  <c r="G65" i="5"/>
  <c r="Q64" i="5" s="1"/>
  <c r="H65" i="5"/>
  <c r="M65" i="5"/>
  <c r="N65" i="5"/>
  <c r="S64" i="5" s="1"/>
  <c r="O65" i="5"/>
  <c r="T64" i="5" s="1"/>
  <c r="C66" i="5"/>
  <c r="D66" i="5"/>
  <c r="F66" i="5"/>
  <c r="P65" i="5" s="1"/>
  <c r="G66" i="5"/>
  <c r="Q65" i="5" s="1"/>
  <c r="H66" i="5"/>
  <c r="M66" i="5"/>
  <c r="N66" i="5"/>
  <c r="S65" i="5" s="1"/>
  <c r="O66" i="5"/>
  <c r="T65" i="5" s="1"/>
  <c r="C67" i="5"/>
  <c r="D67" i="5"/>
  <c r="F67" i="5"/>
  <c r="P66" i="5" s="1"/>
  <c r="G67" i="5"/>
  <c r="Q66" i="5" s="1"/>
  <c r="H67" i="5"/>
  <c r="M67" i="5"/>
  <c r="N67" i="5"/>
  <c r="S66" i="5" s="1"/>
  <c r="O67" i="5"/>
  <c r="T66" i="5" s="1"/>
  <c r="C68" i="5"/>
  <c r="D68" i="5"/>
  <c r="F68" i="5"/>
  <c r="P67" i="5" s="1"/>
  <c r="G68" i="5"/>
  <c r="Q67" i="5" s="1"/>
  <c r="H68" i="5"/>
  <c r="M68" i="5"/>
  <c r="N68" i="5"/>
  <c r="S67" i="5" s="1"/>
  <c r="O68" i="5"/>
  <c r="T67" i="5" s="1"/>
  <c r="C69" i="5"/>
  <c r="D69" i="5"/>
  <c r="F69" i="5"/>
  <c r="P68" i="5" s="1"/>
  <c r="G69" i="5"/>
  <c r="Q68" i="5" s="1"/>
  <c r="H69" i="5"/>
  <c r="M69" i="5"/>
  <c r="N69" i="5"/>
  <c r="S68" i="5" s="1"/>
  <c r="O69" i="5"/>
  <c r="T68" i="5" s="1"/>
  <c r="C70" i="5"/>
  <c r="D70" i="5"/>
  <c r="F70" i="5"/>
  <c r="P69" i="5" s="1"/>
  <c r="G70" i="5"/>
  <c r="Q69" i="5" s="1"/>
  <c r="H70" i="5"/>
  <c r="M70" i="5"/>
  <c r="N70" i="5"/>
  <c r="S69" i="5" s="1"/>
  <c r="O70" i="5"/>
  <c r="T69" i="5" s="1"/>
  <c r="C71" i="5"/>
  <c r="D71" i="5"/>
  <c r="F71" i="5"/>
  <c r="P70" i="5" s="1"/>
  <c r="G71" i="5"/>
  <c r="Q70" i="5" s="1"/>
  <c r="H71" i="5"/>
  <c r="M71" i="5"/>
  <c r="N71" i="5"/>
  <c r="S70" i="5" s="1"/>
  <c r="O71" i="5"/>
  <c r="T70" i="5" s="1"/>
  <c r="C72" i="5"/>
  <c r="D72" i="5"/>
  <c r="F72" i="5"/>
  <c r="P71" i="5" s="1"/>
  <c r="G72" i="5"/>
  <c r="Q71" i="5" s="1"/>
  <c r="H72" i="5"/>
  <c r="M72" i="5"/>
  <c r="N72" i="5"/>
  <c r="S71" i="5" s="1"/>
  <c r="O72" i="5"/>
  <c r="T71" i="5" s="1"/>
  <c r="C73" i="5"/>
  <c r="D73" i="5"/>
  <c r="F73" i="5"/>
  <c r="P72" i="5" s="1"/>
  <c r="G73" i="5"/>
  <c r="Q72" i="5" s="1"/>
  <c r="H73" i="5"/>
  <c r="M73" i="5"/>
  <c r="N73" i="5"/>
  <c r="S72" i="5" s="1"/>
  <c r="O73" i="5"/>
  <c r="T72" i="5" s="1"/>
  <c r="C74" i="5"/>
  <c r="D74" i="5"/>
  <c r="F74" i="5"/>
  <c r="P73" i="5" s="1"/>
  <c r="G74" i="5"/>
  <c r="Q73" i="5" s="1"/>
  <c r="H74" i="5"/>
  <c r="M74" i="5"/>
  <c r="N74" i="5"/>
  <c r="S73" i="5" s="1"/>
  <c r="O74" i="5"/>
  <c r="T73" i="5" s="1"/>
  <c r="C75" i="5"/>
  <c r="D75" i="5"/>
  <c r="F75" i="5"/>
  <c r="P74" i="5" s="1"/>
  <c r="G75" i="5"/>
  <c r="Q74" i="5" s="1"/>
  <c r="H75" i="5"/>
  <c r="M75" i="5"/>
  <c r="N75" i="5"/>
  <c r="S74" i="5" s="1"/>
  <c r="O75" i="5"/>
  <c r="C76" i="5"/>
  <c r="D76" i="5"/>
  <c r="F76" i="5"/>
  <c r="P75" i="5" s="1"/>
  <c r="G76" i="5"/>
  <c r="H76" i="5"/>
  <c r="M76" i="5"/>
  <c r="N76" i="5"/>
  <c r="S75" i="5" s="1"/>
  <c r="O76" i="5"/>
  <c r="T75" i="5" s="1"/>
  <c r="C77" i="5"/>
  <c r="D77" i="5"/>
  <c r="F77" i="5"/>
  <c r="P76" i="5" s="1"/>
  <c r="G77" i="5"/>
  <c r="Q76" i="5" s="1"/>
  <c r="H77" i="5"/>
  <c r="M77" i="5"/>
  <c r="N77" i="5"/>
  <c r="S76" i="5" s="1"/>
  <c r="O77" i="5"/>
  <c r="T76" i="5" s="1"/>
  <c r="C78" i="5"/>
  <c r="D78" i="5"/>
  <c r="F78" i="5"/>
  <c r="P77" i="5" s="1"/>
  <c r="G78" i="5"/>
  <c r="Q77" i="5" s="1"/>
  <c r="H78" i="5"/>
  <c r="M78" i="5"/>
  <c r="N78" i="5"/>
  <c r="S77" i="5" s="1"/>
  <c r="O78" i="5"/>
  <c r="T77" i="5" s="1"/>
  <c r="C79" i="5"/>
  <c r="D79" i="5"/>
  <c r="F79" i="5"/>
  <c r="P78" i="5" s="1"/>
  <c r="G79" i="5"/>
  <c r="Q78" i="5" s="1"/>
  <c r="H79" i="5"/>
  <c r="M79" i="5"/>
  <c r="N79" i="5"/>
  <c r="S78" i="5" s="1"/>
  <c r="O79" i="5"/>
  <c r="T78" i="5" s="1"/>
  <c r="C80" i="5"/>
  <c r="D80" i="5"/>
  <c r="F80" i="5"/>
  <c r="P79" i="5" s="1"/>
  <c r="G80" i="5"/>
  <c r="Q79" i="5" s="1"/>
  <c r="H80" i="5"/>
  <c r="M80" i="5"/>
  <c r="N80" i="5"/>
  <c r="S79" i="5" s="1"/>
  <c r="O80" i="5"/>
  <c r="T79" i="5" s="1"/>
  <c r="Q82" i="2"/>
  <c r="P82" i="2"/>
  <c r="O82" i="2"/>
  <c r="N82" i="2"/>
  <c r="M82" i="2"/>
  <c r="L82" i="2"/>
  <c r="R24" i="26"/>
  <c r="F26" i="2"/>
  <c r="G26" i="2"/>
  <c r="H26" i="2"/>
  <c r="I26" i="2"/>
  <c r="J26" i="2"/>
  <c r="K26" i="2"/>
  <c r="L26" i="2"/>
  <c r="M26" i="2"/>
  <c r="N26" i="2"/>
  <c r="O26" i="2"/>
  <c r="F27" i="2"/>
  <c r="G27" i="2"/>
  <c r="H27" i="2"/>
  <c r="I27" i="2"/>
  <c r="J27" i="2"/>
  <c r="K27" i="2"/>
  <c r="L27" i="2"/>
  <c r="M27" i="2"/>
  <c r="N27" i="2"/>
  <c r="O27" i="2"/>
  <c r="F28" i="2"/>
  <c r="G28" i="2"/>
  <c r="H28" i="2"/>
  <c r="I28" i="2"/>
  <c r="J28" i="2"/>
  <c r="K28" i="2"/>
  <c r="L28" i="2"/>
  <c r="M28" i="2"/>
  <c r="N28" i="2"/>
  <c r="O28" i="2"/>
  <c r="F29" i="2"/>
  <c r="G29" i="2"/>
  <c r="H29" i="2"/>
  <c r="I29" i="2"/>
  <c r="J29" i="2"/>
  <c r="K29" i="2"/>
  <c r="L29" i="2"/>
  <c r="M29" i="2"/>
  <c r="N29" i="2"/>
  <c r="O29" i="2"/>
  <c r="F30" i="2"/>
  <c r="G30" i="2"/>
  <c r="H30" i="2"/>
  <c r="I30" i="2"/>
  <c r="J30" i="2"/>
  <c r="K30" i="2"/>
  <c r="L30" i="2"/>
  <c r="M30" i="2"/>
  <c r="N30" i="2"/>
  <c r="O30" i="2"/>
  <c r="F31" i="2"/>
  <c r="G31" i="2"/>
  <c r="H31" i="2"/>
  <c r="I31" i="2"/>
  <c r="J31" i="2"/>
  <c r="K31" i="2"/>
  <c r="L31" i="2"/>
  <c r="M31" i="2"/>
  <c r="N31" i="2"/>
  <c r="O31" i="2"/>
  <c r="F32" i="2"/>
  <c r="G32" i="2"/>
  <c r="H32" i="2"/>
  <c r="I32" i="2"/>
  <c r="J32" i="2"/>
  <c r="K32" i="2"/>
  <c r="L32" i="2"/>
  <c r="M32" i="2"/>
  <c r="N32" i="2"/>
  <c r="O32" i="2"/>
  <c r="F33" i="2"/>
  <c r="G33" i="2"/>
  <c r="H33" i="2"/>
  <c r="I33" i="2"/>
  <c r="J33" i="2"/>
  <c r="K33" i="2"/>
  <c r="L33" i="2"/>
  <c r="M33" i="2"/>
  <c r="N33" i="2"/>
  <c r="O33" i="2"/>
  <c r="F34" i="2"/>
  <c r="G34" i="2"/>
  <c r="H34" i="2"/>
  <c r="I34" i="2"/>
  <c r="J34" i="2"/>
  <c r="K34" i="2"/>
  <c r="L34" i="2"/>
  <c r="M34" i="2"/>
  <c r="N34" i="2"/>
  <c r="O34" i="2"/>
  <c r="F35" i="2"/>
  <c r="G35" i="2"/>
  <c r="H35" i="2"/>
  <c r="I35" i="2"/>
  <c r="J35" i="2"/>
  <c r="K35" i="2"/>
  <c r="L35" i="2"/>
  <c r="M35" i="2"/>
  <c r="N35" i="2"/>
  <c r="O35" i="2"/>
  <c r="F36" i="2"/>
  <c r="G36" i="2"/>
  <c r="H36" i="2"/>
  <c r="I36" i="2"/>
  <c r="J36" i="2"/>
  <c r="K36" i="2"/>
  <c r="L36" i="2"/>
  <c r="M36" i="2"/>
  <c r="N36" i="2"/>
  <c r="O36" i="2"/>
  <c r="F37" i="2"/>
  <c r="G37" i="2"/>
  <c r="H37" i="2"/>
  <c r="I37" i="2"/>
  <c r="J37" i="2"/>
  <c r="K37" i="2"/>
  <c r="L37" i="2"/>
  <c r="M37" i="2"/>
  <c r="N37" i="2"/>
  <c r="O37" i="2"/>
  <c r="F38" i="2"/>
  <c r="G38" i="2"/>
  <c r="H38" i="2"/>
  <c r="I38" i="2"/>
  <c r="J38" i="2"/>
  <c r="K38" i="2"/>
  <c r="L38" i="2"/>
  <c r="M38" i="2"/>
  <c r="N38" i="2"/>
  <c r="O38" i="2"/>
  <c r="F39" i="2"/>
  <c r="G39" i="2"/>
  <c r="H39" i="2"/>
  <c r="I39" i="2"/>
  <c r="J39" i="2"/>
  <c r="K39" i="2"/>
  <c r="L39" i="2"/>
  <c r="M39" i="2"/>
  <c r="N39" i="2"/>
  <c r="O39" i="2"/>
  <c r="F40" i="2"/>
  <c r="G40" i="2"/>
  <c r="H40" i="2"/>
  <c r="I40" i="2"/>
  <c r="J40" i="2"/>
  <c r="K40" i="2"/>
  <c r="L40" i="2"/>
  <c r="M40" i="2"/>
  <c r="N40" i="2"/>
  <c r="O40" i="2"/>
  <c r="F41" i="2"/>
  <c r="G41" i="2"/>
  <c r="H41" i="2"/>
  <c r="I41" i="2"/>
  <c r="J41" i="2"/>
  <c r="K41" i="2"/>
  <c r="L41" i="2"/>
  <c r="M41" i="2"/>
  <c r="N41" i="2"/>
  <c r="O41" i="2"/>
  <c r="F42" i="2"/>
  <c r="G42" i="2"/>
  <c r="H42" i="2"/>
  <c r="I42" i="2"/>
  <c r="J42" i="2"/>
  <c r="K42" i="2"/>
  <c r="L42" i="2"/>
  <c r="M42" i="2"/>
  <c r="N42" i="2"/>
  <c r="O42" i="2"/>
  <c r="F43" i="2"/>
  <c r="G43" i="2"/>
  <c r="H43" i="2"/>
  <c r="I43" i="2"/>
  <c r="J43" i="2"/>
  <c r="K43" i="2"/>
  <c r="L43" i="2"/>
  <c r="M43" i="2"/>
  <c r="N43" i="2"/>
  <c r="O43" i="2"/>
  <c r="F44" i="2"/>
  <c r="G44" i="2"/>
  <c r="H44" i="2"/>
  <c r="I44" i="2"/>
  <c r="J44" i="2"/>
  <c r="K44" i="2"/>
  <c r="L44" i="2"/>
  <c r="M44" i="2"/>
  <c r="N44" i="2"/>
  <c r="O44" i="2"/>
  <c r="F45" i="2"/>
  <c r="G45" i="2"/>
  <c r="H45" i="2"/>
  <c r="I45" i="2"/>
  <c r="J45" i="2"/>
  <c r="K45" i="2"/>
  <c r="L45" i="2"/>
  <c r="M45" i="2"/>
  <c r="N45" i="2"/>
  <c r="O45" i="2"/>
  <c r="F46" i="2"/>
  <c r="G46" i="2"/>
  <c r="H46" i="2"/>
  <c r="I46" i="2"/>
  <c r="J46" i="2"/>
  <c r="K46" i="2"/>
  <c r="L46" i="2"/>
  <c r="M46" i="2"/>
  <c r="N46" i="2"/>
  <c r="O46" i="2"/>
  <c r="F47" i="2"/>
  <c r="G47" i="2"/>
  <c r="H47" i="2"/>
  <c r="I47" i="2"/>
  <c r="J47" i="2"/>
  <c r="K47" i="2"/>
  <c r="L47" i="2"/>
  <c r="M47" i="2"/>
  <c r="N47" i="2"/>
  <c r="O47" i="2"/>
  <c r="F48" i="2"/>
  <c r="G48" i="2"/>
  <c r="H48" i="2"/>
  <c r="I48" i="2"/>
  <c r="J48" i="2"/>
  <c r="K48" i="2"/>
  <c r="L48" i="2"/>
  <c r="M48" i="2"/>
  <c r="N48" i="2"/>
  <c r="O48" i="2"/>
  <c r="F49" i="2"/>
  <c r="G49" i="2"/>
  <c r="H49" i="2"/>
  <c r="I49" i="2"/>
  <c r="J49" i="2"/>
  <c r="K49" i="2"/>
  <c r="L49" i="2"/>
  <c r="M49" i="2"/>
  <c r="N49" i="2"/>
  <c r="O49" i="2"/>
  <c r="F50" i="2"/>
  <c r="G50" i="2"/>
  <c r="H50" i="2"/>
  <c r="I50" i="2"/>
  <c r="J50" i="2"/>
  <c r="K50" i="2"/>
  <c r="L50" i="2"/>
  <c r="M50" i="2"/>
  <c r="N50" i="2"/>
  <c r="O50" i="2"/>
  <c r="F51" i="2"/>
  <c r="G51" i="2"/>
  <c r="H51" i="2"/>
  <c r="I51" i="2"/>
  <c r="J51" i="2"/>
  <c r="K51" i="2"/>
  <c r="L51" i="2"/>
  <c r="M51" i="2"/>
  <c r="N51" i="2"/>
  <c r="O51" i="2"/>
  <c r="F52" i="2"/>
  <c r="G52" i="2"/>
  <c r="H52" i="2"/>
  <c r="I52" i="2"/>
  <c r="J52" i="2"/>
  <c r="K52" i="2"/>
  <c r="L52" i="2"/>
  <c r="M52" i="2"/>
  <c r="N52" i="2"/>
  <c r="O52" i="2"/>
  <c r="F53" i="2"/>
  <c r="G53" i="2"/>
  <c r="H53" i="2"/>
  <c r="I53" i="2"/>
  <c r="J53" i="2"/>
  <c r="K53" i="2"/>
  <c r="L53" i="2"/>
  <c r="M53" i="2"/>
  <c r="N53" i="2"/>
  <c r="O53" i="2"/>
  <c r="F54" i="2"/>
  <c r="G54" i="2"/>
  <c r="H54" i="2"/>
  <c r="I54" i="2"/>
  <c r="J54" i="2"/>
  <c r="K54" i="2"/>
  <c r="L54" i="2"/>
  <c r="M54" i="2"/>
  <c r="N54" i="2"/>
  <c r="O54" i="2"/>
  <c r="F55" i="2"/>
  <c r="G55" i="2"/>
  <c r="H55" i="2"/>
  <c r="I55" i="2"/>
  <c r="J55" i="2"/>
  <c r="K55" i="2"/>
  <c r="L55" i="2"/>
  <c r="M55" i="2"/>
  <c r="N55" i="2"/>
  <c r="O55" i="2"/>
  <c r="F56" i="2"/>
  <c r="G56" i="2"/>
  <c r="H56" i="2"/>
  <c r="I56" i="2"/>
  <c r="J56" i="2"/>
  <c r="K56" i="2"/>
  <c r="L56" i="2"/>
  <c r="M56" i="2"/>
  <c r="N56" i="2"/>
  <c r="O56" i="2"/>
  <c r="F57" i="2"/>
  <c r="G57" i="2"/>
  <c r="H57" i="2"/>
  <c r="I57" i="2"/>
  <c r="J57" i="2"/>
  <c r="K57" i="2"/>
  <c r="L57" i="2"/>
  <c r="M57" i="2"/>
  <c r="N57" i="2"/>
  <c r="O57" i="2"/>
  <c r="F58" i="2"/>
  <c r="G58" i="2"/>
  <c r="H58" i="2"/>
  <c r="I58" i="2"/>
  <c r="J58" i="2"/>
  <c r="K58" i="2"/>
  <c r="L58" i="2"/>
  <c r="M58" i="2"/>
  <c r="N58" i="2"/>
  <c r="O58" i="2"/>
  <c r="F59" i="2"/>
  <c r="G59" i="2"/>
  <c r="H59" i="2"/>
  <c r="I59" i="2"/>
  <c r="J59" i="2"/>
  <c r="K59" i="2"/>
  <c r="L59" i="2"/>
  <c r="M59" i="2"/>
  <c r="N59" i="2"/>
  <c r="O59" i="2"/>
  <c r="F60" i="2"/>
  <c r="G60" i="2"/>
  <c r="H60" i="2"/>
  <c r="I60" i="2"/>
  <c r="J60" i="2"/>
  <c r="K60" i="2"/>
  <c r="L60" i="2"/>
  <c r="M60" i="2"/>
  <c r="N60" i="2"/>
  <c r="O60" i="2"/>
  <c r="F61" i="2"/>
  <c r="G61" i="2"/>
  <c r="H61" i="2"/>
  <c r="I61" i="2"/>
  <c r="J61" i="2"/>
  <c r="K61" i="2"/>
  <c r="L61" i="2"/>
  <c r="M61" i="2"/>
  <c r="N61" i="2"/>
  <c r="O61" i="2"/>
  <c r="F62" i="2"/>
  <c r="G62" i="2"/>
  <c r="H62" i="2"/>
  <c r="I62" i="2"/>
  <c r="J62" i="2"/>
  <c r="K62" i="2"/>
  <c r="L62" i="2"/>
  <c r="M62" i="2"/>
  <c r="N62" i="2"/>
  <c r="O62" i="2"/>
  <c r="F63" i="2"/>
  <c r="G63" i="2"/>
  <c r="H63" i="2"/>
  <c r="I63" i="2"/>
  <c r="J63" i="2"/>
  <c r="K63" i="2"/>
  <c r="L63" i="2"/>
  <c r="M63" i="2"/>
  <c r="N63" i="2"/>
  <c r="O63" i="2"/>
  <c r="F64" i="2"/>
  <c r="G64" i="2"/>
  <c r="H64" i="2"/>
  <c r="I64" i="2"/>
  <c r="J64" i="2"/>
  <c r="K64" i="2"/>
  <c r="L64" i="2"/>
  <c r="M64" i="2"/>
  <c r="N64" i="2"/>
  <c r="O64" i="2"/>
  <c r="F65" i="2"/>
  <c r="G65" i="2"/>
  <c r="H65" i="2"/>
  <c r="I65" i="2"/>
  <c r="J65" i="2"/>
  <c r="K65" i="2"/>
  <c r="L65" i="2"/>
  <c r="M65" i="2"/>
  <c r="N65" i="2"/>
  <c r="O65" i="2"/>
  <c r="F66" i="2"/>
  <c r="G66" i="2"/>
  <c r="H66" i="2"/>
  <c r="I66" i="2"/>
  <c r="J66" i="2"/>
  <c r="K66" i="2"/>
  <c r="L66" i="2"/>
  <c r="M66" i="2"/>
  <c r="N66" i="2"/>
  <c r="O66" i="2"/>
  <c r="F67" i="2"/>
  <c r="G67" i="2"/>
  <c r="H67" i="2"/>
  <c r="I67" i="2"/>
  <c r="J67" i="2"/>
  <c r="K67" i="2"/>
  <c r="L67" i="2"/>
  <c r="M67" i="2"/>
  <c r="N67" i="2"/>
  <c r="O67" i="2"/>
  <c r="F68" i="2"/>
  <c r="G68" i="2"/>
  <c r="H68" i="2"/>
  <c r="I68" i="2"/>
  <c r="J68" i="2"/>
  <c r="K68" i="2"/>
  <c r="L68" i="2"/>
  <c r="M68" i="2"/>
  <c r="N68" i="2"/>
  <c r="O68" i="2"/>
  <c r="F69" i="2"/>
  <c r="G69" i="2"/>
  <c r="H69" i="2"/>
  <c r="I69" i="2"/>
  <c r="J69" i="2"/>
  <c r="K69" i="2"/>
  <c r="L69" i="2"/>
  <c r="M69" i="2"/>
  <c r="N69" i="2"/>
  <c r="O69" i="2"/>
  <c r="F70" i="2"/>
  <c r="G70" i="2"/>
  <c r="H70" i="2"/>
  <c r="I70" i="2"/>
  <c r="J70" i="2"/>
  <c r="K70" i="2"/>
  <c r="L70" i="2"/>
  <c r="M70" i="2"/>
  <c r="N70" i="2"/>
  <c r="O70" i="2"/>
  <c r="F71" i="2"/>
  <c r="G71" i="2"/>
  <c r="H71" i="2"/>
  <c r="I71" i="2"/>
  <c r="J71" i="2"/>
  <c r="K71" i="2"/>
  <c r="L71" i="2"/>
  <c r="M71" i="2"/>
  <c r="N71" i="2"/>
  <c r="O71" i="2"/>
  <c r="F72" i="2"/>
  <c r="G72" i="2"/>
  <c r="H72" i="2"/>
  <c r="I72" i="2"/>
  <c r="J72" i="2"/>
  <c r="K72" i="2"/>
  <c r="L72" i="2"/>
  <c r="M72" i="2"/>
  <c r="N72" i="2"/>
  <c r="O72" i="2"/>
  <c r="F73" i="2"/>
  <c r="G73" i="2"/>
  <c r="H73" i="2"/>
  <c r="I73" i="2"/>
  <c r="J73" i="2"/>
  <c r="K73" i="2"/>
  <c r="L73" i="2"/>
  <c r="M73" i="2"/>
  <c r="N73" i="2"/>
  <c r="O73" i="2"/>
  <c r="F74" i="2"/>
  <c r="G74" i="2"/>
  <c r="H74" i="2"/>
  <c r="I74" i="2"/>
  <c r="J74" i="2"/>
  <c r="K74" i="2"/>
  <c r="L74" i="2"/>
  <c r="M74" i="2"/>
  <c r="N74" i="2"/>
  <c r="O74" i="2"/>
  <c r="F75" i="2"/>
  <c r="G75" i="2"/>
  <c r="H75" i="2"/>
  <c r="I75" i="2"/>
  <c r="J75" i="2"/>
  <c r="K75" i="2"/>
  <c r="L75" i="2"/>
  <c r="M75" i="2"/>
  <c r="N75" i="2"/>
  <c r="O75" i="2"/>
  <c r="F76" i="2"/>
  <c r="G76" i="2"/>
  <c r="H76" i="2"/>
  <c r="I76" i="2"/>
  <c r="J76" i="2"/>
  <c r="K76" i="2"/>
  <c r="L76" i="2"/>
  <c r="M76" i="2"/>
  <c r="N76" i="2"/>
  <c r="O76" i="2"/>
  <c r="F77" i="2"/>
  <c r="G77" i="2"/>
  <c r="H77" i="2"/>
  <c r="I77" i="2"/>
  <c r="J77" i="2"/>
  <c r="K77" i="2"/>
  <c r="L77" i="2"/>
  <c r="M77" i="2"/>
  <c r="N77" i="2"/>
  <c r="O77" i="2"/>
  <c r="F78" i="2"/>
  <c r="G78" i="2"/>
  <c r="H78" i="2"/>
  <c r="I78" i="2"/>
  <c r="J78" i="2"/>
  <c r="K78" i="2"/>
  <c r="L78" i="2"/>
  <c r="M78" i="2"/>
  <c r="N78" i="2"/>
  <c r="O78" i="2"/>
  <c r="F79" i="2"/>
  <c r="G79" i="2"/>
  <c r="H79" i="2"/>
  <c r="I79" i="2"/>
  <c r="J79" i="2"/>
  <c r="K79" i="2"/>
  <c r="L79" i="2"/>
  <c r="M79" i="2"/>
  <c r="N79" i="2"/>
  <c r="O79" i="2"/>
  <c r="F80" i="2"/>
  <c r="G80" i="2"/>
  <c r="H80" i="2"/>
  <c r="I80" i="2"/>
  <c r="J80" i="2"/>
  <c r="K80" i="2"/>
  <c r="L80" i="2"/>
  <c r="M80" i="2"/>
  <c r="N80" i="2"/>
  <c r="O80" i="2"/>
  <c r="F81" i="2"/>
  <c r="G81" i="2"/>
  <c r="H81" i="2"/>
  <c r="I81" i="2"/>
  <c r="J81" i="2"/>
  <c r="K81" i="2"/>
  <c r="L81" i="2"/>
  <c r="M81" i="2"/>
  <c r="N81" i="2"/>
  <c r="O81" i="2"/>
  <c r="F82" i="2"/>
  <c r="G82" i="2"/>
  <c r="H82" i="2"/>
  <c r="I82" i="2"/>
  <c r="J82" i="2"/>
  <c r="K82" i="2"/>
  <c r="S72" i="22"/>
  <c r="T72" i="22" s="1"/>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24" i="14"/>
  <c r="P71" i="4"/>
  <c r="R71" i="4"/>
  <c r="T71" i="4"/>
  <c r="V71" i="4"/>
  <c r="X71" i="4"/>
  <c r="Z71" i="4"/>
  <c r="AA71" i="4"/>
  <c r="P72" i="4"/>
  <c r="R72" i="4"/>
  <c r="T72" i="4"/>
  <c r="V72" i="4"/>
  <c r="X72" i="4"/>
  <c r="P73" i="4"/>
  <c r="R73" i="4"/>
  <c r="T73" i="4"/>
  <c r="V73" i="4"/>
  <c r="X73" i="4"/>
  <c r="P74" i="4"/>
  <c r="R74" i="4"/>
  <c r="T74" i="4"/>
  <c r="V74" i="4"/>
  <c r="X74" i="4"/>
  <c r="P75" i="4"/>
  <c r="R75" i="4"/>
  <c r="T75" i="4"/>
  <c r="V75" i="4"/>
  <c r="X75" i="4"/>
  <c r="P76" i="4"/>
  <c r="R76" i="4"/>
  <c r="T76" i="4"/>
  <c r="V76" i="4"/>
  <c r="X76" i="4"/>
  <c r="Z76" i="4"/>
  <c r="AA76" i="4"/>
  <c r="P77" i="4"/>
  <c r="R77" i="4"/>
  <c r="T77" i="4"/>
  <c r="V77" i="4"/>
  <c r="X77" i="4"/>
  <c r="Z77" i="4"/>
  <c r="AA77" i="4"/>
  <c r="F27" i="4"/>
  <c r="G27" i="4"/>
  <c r="H27" i="4"/>
  <c r="I27" i="4"/>
  <c r="J27" i="4"/>
  <c r="K27" i="4"/>
  <c r="L27" i="4"/>
  <c r="M27" i="4"/>
  <c r="N27" i="4"/>
  <c r="O27" i="4"/>
  <c r="F28" i="4"/>
  <c r="G28" i="4"/>
  <c r="H28" i="4"/>
  <c r="I28" i="4"/>
  <c r="J28" i="4"/>
  <c r="K28" i="4"/>
  <c r="L28" i="4"/>
  <c r="M28" i="4"/>
  <c r="N28" i="4"/>
  <c r="O28" i="4"/>
  <c r="F29" i="4"/>
  <c r="G29" i="4"/>
  <c r="H29" i="4"/>
  <c r="I29" i="4"/>
  <c r="J29" i="4"/>
  <c r="K29" i="4"/>
  <c r="L29" i="4"/>
  <c r="M29" i="4"/>
  <c r="N29" i="4"/>
  <c r="O29" i="4"/>
  <c r="F30" i="4"/>
  <c r="G30" i="4"/>
  <c r="H30" i="4"/>
  <c r="I30" i="4"/>
  <c r="J30" i="4"/>
  <c r="K30" i="4"/>
  <c r="L30" i="4"/>
  <c r="M30" i="4"/>
  <c r="N30" i="4"/>
  <c r="O30" i="4"/>
  <c r="F31" i="4"/>
  <c r="G31" i="4"/>
  <c r="H31" i="4"/>
  <c r="I31" i="4"/>
  <c r="J31" i="4"/>
  <c r="K31" i="4"/>
  <c r="L31" i="4"/>
  <c r="M31" i="4"/>
  <c r="N31" i="4"/>
  <c r="O31" i="4"/>
  <c r="F32" i="4"/>
  <c r="G32" i="4"/>
  <c r="H32" i="4"/>
  <c r="I32" i="4"/>
  <c r="J32" i="4"/>
  <c r="K32" i="4"/>
  <c r="L32" i="4"/>
  <c r="M32" i="4"/>
  <c r="N32" i="4"/>
  <c r="O32" i="4"/>
  <c r="F33" i="4"/>
  <c r="G33" i="4"/>
  <c r="H33" i="4"/>
  <c r="I33" i="4"/>
  <c r="J33" i="4"/>
  <c r="K33" i="4"/>
  <c r="L33" i="4"/>
  <c r="M33" i="4"/>
  <c r="N33" i="4"/>
  <c r="O33" i="4"/>
  <c r="F34" i="4"/>
  <c r="G34" i="4"/>
  <c r="H34" i="4"/>
  <c r="I34" i="4"/>
  <c r="J34" i="4"/>
  <c r="K34" i="4"/>
  <c r="L34" i="4"/>
  <c r="M34" i="4"/>
  <c r="N34" i="4"/>
  <c r="O34" i="4"/>
  <c r="F35" i="4"/>
  <c r="G35" i="4"/>
  <c r="H35" i="4"/>
  <c r="I35" i="4"/>
  <c r="J35" i="4"/>
  <c r="K35" i="4"/>
  <c r="L35" i="4"/>
  <c r="M35" i="4"/>
  <c r="N35" i="4"/>
  <c r="O35" i="4"/>
  <c r="F36" i="4"/>
  <c r="G36" i="4"/>
  <c r="H36" i="4"/>
  <c r="I36" i="4"/>
  <c r="J36" i="4"/>
  <c r="K36" i="4"/>
  <c r="L36" i="4"/>
  <c r="M36" i="4"/>
  <c r="N36" i="4"/>
  <c r="O36" i="4"/>
  <c r="F37" i="4"/>
  <c r="G37" i="4"/>
  <c r="H37" i="4"/>
  <c r="I37" i="4"/>
  <c r="J37" i="4"/>
  <c r="K37" i="4"/>
  <c r="L37" i="4"/>
  <c r="M37" i="4"/>
  <c r="N37" i="4"/>
  <c r="O37" i="4"/>
  <c r="F38" i="4"/>
  <c r="G38" i="4"/>
  <c r="H38" i="4"/>
  <c r="I38" i="4"/>
  <c r="J38" i="4"/>
  <c r="K38" i="4"/>
  <c r="L38" i="4"/>
  <c r="M38" i="4"/>
  <c r="N38" i="4"/>
  <c r="O38" i="4"/>
  <c r="F39" i="4"/>
  <c r="G39" i="4"/>
  <c r="H39" i="4"/>
  <c r="I39" i="4"/>
  <c r="J39" i="4"/>
  <c r="K39" i="4"/>
  <c r="L39" i="4"/>
  <c r="M39" i="4"/>
  <c r="N39" i="4"/>
  <c r="O39" i="4"/>
  <c r="F40" i="4"/>
  <c r="G40" i="4"/>
  <c r="H40" i="4"/>
  <c r="I40" i="4"/>
  <c r="J40" i="4"/>
  <c r="K40" i="4"/>
  <c r="L40" i="4"/>
  <c r="M40" i="4"/>
  <c r="N40" i="4"/>
  <c r="O40" i="4"/>
  <c r="F41" i="4"/>
  <c r="G41" i="4"/>
  <c r="H41" i="4"/>
  <c r="I41" i="4"/>
  <c r="J41" i="4"/>
  <c r="K41" i="4"/>
  <c r="L41" i="4"/>
  <c r="M41" i="4"/>
  <c r="N41" i="4"/>
  <c r="O41" i="4"/>
  <c r="F42" i="4"/>
  <c r="G42" i="4"/>
  <c r="H42" i="4"/>
  <c r="I42" i="4"/>
  <c r="J42" i="4"/>
  <c r="K42" i="4"/>
  <c r="L42" i="4"/>
  <c r="M42" i="4"/>
  <c r="N42" i="4"/>
  <c r="O42" i="4"/>
  <c r="F43" i="4"/>
  <c r="G43" i="4"/>
  <c r="H43" i="4"/>
  <c r="I43" i="4"/>
  <c r="J43" i="4"/>
  <c r="K43" i="4"/>
  <c r="L43" i="4"/>
  <c r="M43" i="4"/>
  <c r="N43" i="4"/>
  <c r="O43" i="4"/>
  <c r="F44" i="4"/>
  <c r="G44" i="4"/>
  <c r="H44" i="4"/>
  <c r="I44" i="4"/>
  <c r="J44" i="4"/>
  <c r="K44" i="4"/>
  <c r="L44" i="4"/>
  <c r="M44" i="4"/>
  <c r="N44" i="4"/>
  <c r="O44" i="4"/>
  <c r="F45" i="4"/>
  <c r="G45" i="4"/>
  <c r="H45" i="4"/>
  <c r="I45" i="4"/>
  <c r="J45" i="4"/>
  <c r="K45" i="4"/>
  <c r="L45" i="4"/>
  <c r="M45" i="4"/>
  <c r="N45" i="4"/>
  <c r="O45" i="4"/>
  <c r="F46" i="4"/>
  <c r="G46" i="4"/>
  <c r="H46" i="4"/>
  <c r="I46" i="4"/>
  <c r="J46" i="4"/>
  <c r="K46" i="4"/>
  <c r="L46" i="4"/>
  <c r="M46" i="4"/>
  <c r="N46" i="4"/>
  <c r="O46" i="4"/>
  <c r="F47" i="4"/>
  <c r="G47" i="4"/>
  <c r="H47" i="4"/>
  <c r="I47" i="4"/>
  <c r="J47" i="4"/>
  <c r="K47" i="4"/>
  <c r="L47" i="4"/>
  <c r="M47" i="4"/>
  <c r="N47" i="4"/>
  <c r="O47" i="4"/>
  <c r="F48" i="4"/>
  <c r="G48" i="4"/>
  <c r="H48" i="4"/>
  <c r="I48" i="4"/>
  <c r="J48" i="4"/>
  <c r="K48" i="4"/>
  <c r="L48" i="4"/>
  <c r="M48" i="4"/>
  <c r="N48" i="4"/>
  <c r="O48" i="4"/>
  <c r="F49" i="4"/>
  <c r="G49" i="4"/>
  <c r="H49" i="4"/>
  <c r="I49" i="4"/>
  <c r="J49" i="4"/>
  <c r="K49" i="4"/>
  <c r="L49" i="4"/>
  <c r="M49" i="4"/>
  <c r="N49" i="4"/>
  <c r="O49" i="4"/>
  <c r="F50" i="4"/>
  <c r="G50" i="4"/>
  <c r="H50" i="4"/>
  <c r="I50" i="4"/>
  <c r="J50" i="4"/>
  <c r="K50" i="4"/>
  <c r="L50" i="4"/>
  <c r="M50" i="4"/>
  <c r="N50" i="4"/>
  <c r="O50" i="4"/>
  <c r="F51" i="4"/>
  <c r="G51" i="4"/>
  <c r="H51" i="4"/>
  <c r="I51" i="4"/>
  <c r="J51" i="4"/>
  <c r="K51" i="4"/>
  <c r="L51" i="4"/>
  <c r="M51" i="4"/>
  <c r="N51" i="4"/>
  <c r="O51" i="4"/>
  <c r="F52" i="4"/>
  <c r="G52" i="4"/>
  <c r="H52" i="4"/>
  <c r="I52" i="4"/>
  <c r="J52" i="4"/>
  <c r="K52" i="4"/>
  <c r="L52" i="4"/>
  <c r="M52" i="4"/>
  <c r="N52" i="4"/>
  <c r="O52" i="4"/>
  <c r="F53" i="4"/>
  <c r="G53" i="4"/>
  <c r="H53" i="4"/>
  <c r="I53" i="4"/>
  <c r="J53" i="4"/>
  <c r="K53" i="4"/>
  <c r="L53" i="4"/>
  <c r="M53" i="4"/>
  <c r="N53" i="4"/>
  <c r="O53" i="4"/>
  <c r="F54" i="4"/>
  <c r="G54" i="4"/>
  <c r="H54" i="4"/>
  <c r="I54" i="4"/>
  <c r="J54" i="4"/>
  <c r="K54" i="4"/>
  <c r="L54" i="4"/>
  <c r="M54" i="4"/>
  <c r="N54" i="4"/>
  <c r="O54" i="4"/>
  <c r="F55" i="4"/>
  <c r="G55" i="4"/>
  <c r="H55" i="4"/>
  <c r="I55" i="4"/>
  <c r="J55" i="4"/>
  <c r="K55" i="4"/>
  <c r="L55" i="4"/>
  <c r="M55" i="4"/>
  <c r="N55" i="4"/>
  <c r="O55" i="4"/>
  <c r="F56" i="4"/>
  <c r="G56" i="4"/>
  <c r="H56" i="4"/>
  <c r="I56" i="4"/>
  <c r="J56" i="4"/>
  <c r="K56" i="4"/>
  <c r="L56" i="4"/>
  <c r="M56" i="4"/>
  <c r="N56" i="4"/>
  <c r="O56" i="4"/>
  <c r="F57" i="4"/>
  <c r="G57" i="4"/>
  <c r="H57" i="4"/>
  <c r="I57" i="4"/>
  <c r="J57" i="4"/>
  <c r="K57" i="4"/>
  <c r="L57" i="4"/>
  <c r="M57" i="4"/>
  <c r="N57" i="4"/>
  <c r="O57" i="4"/>
  <c r="F58" i="4"/>
  <c r="G58" i="4"/>
  <c r="H58" i="4"/>
  <c r="I58" i="4"/>
  <c r="J58" i="4"/>
  <c r="K58" i="4"/>
  <c r="L58" i="4"/>
  <c r="M58" i="4"/>
  <c r="N58" i="4"/>
  <c r="O58" i="4"/>
  <c r="F59" i="4"/>
  <c r="G59" i="4"/>
  <c r="H59" i="4"/>
  <c r="I59" i="4"/>
  <c r="J59" i="4"/>
  <c r="K59" i="4"/>
  <c r="L59" i="4"/>
  <c r="M59" i="4"/>
  <c r="N59" i="4"/>
  <c r="O59" i="4"/>
  <c r="F60" i="4"/>
  <c r="G60" i="4"/>
  <c r="H60" i="4"/>
  <c r="I60" i="4"/>
  <c r="J60" i="4"/>
  <c r="K60" i="4"/>
  <c r="L60" i="4"/>
  <c r="M60" i="4"/>
  <c r="N60" i="4"/>
  <c r="O60" i="4"/>
  <c r="F61" i="4"/>
  <c r="G61" i="4"/>
  <c r="H61" i="4"/>
  <c r="I61" i="4"/>
  <c r="J61" i="4"/>
  <c r="K61" i="4"/>
  <c r="L61" i="4"/>
  <c r="M61" i="4"/>
  <c r="N61" i="4"/>
  <c r="O61" i="4"/>
  <c r="F62" i="4"/>
  <c r="G62" i="4"/>
  <c r="H62" i="4"/>
  <c r="I62" i="4"/>
  <c r="J62" i="4"/>
  <c r="K62" i="4"/>
  <c r="L62" i="4"/>
  <c r="M62" i="4"/>
  <c r="N62" i="4"/>
  <c r="O62" i="4"/>
  <c r="F63" i="4"/>
  <c r="G63" i="4"/>
  <c r="H63" i="4"/>
  <c r="I63" i="4"/>
  <c r="J63" i="4"/>
  <c r="K63" i="4"/>
  <c r="L63" i="4"/>
  <c r="M63" i="4"/>
  <c r="N63" i="4"/>
  <c r="O63" i="4"/>
  <c r="F64" i="4"/>
  <c r="G64" i="4"/>
  <c r="H64" i="4"/>
  <c r="I64" i="4"/>
  <c r="J64" i="4"/>
  <c r="K64" i="4"/>
  <c r="L64" i="4"/>
  <c r="M64" i="4"/>
  <c r="N64" i="4"/>
  <c r="O64" i="4"/>
  <c r="F65" i="4"/>
  <c r="G65" i="4"/>
  <c r="H65" i="4"/>
  <c r="I65" i="4"/>
  <c r="J65" i="4"/>
  <c r="K65" i="4"/>
  <c r="L65" i="4"/>
  <c r="M65" i="4"/>
  <c r="N65" i="4"/>
  <c r="O65" i="4"/>
  <c r="F66" i="4"/>
  <c r="G66" i="4"/>
  <c r="H66" i="4"/>
  <c r="I66" i="4"/>
  <c r="J66" i="4"/>
  <c r="K66" i="4"/>
  <c r="L66" i="4"/>
  <c r="M66" i="4"/>
  <c r="N66" i="4"/>
  <c r="O66" i="4"/>
  <c r="F67" i="4"/>
  <c r="G67" i="4"/>
  <c r="H67" i="4"/>
  <c r="I67" i="4"/>
  <c r="J67" i="4"/>
  <c r="K67" i="4"/>
  <c r="L67" i="4"/>
  <c r="M67" i="4"/>
  <c r="N67" i="4"/>
  <c r="O67" i="4"/>
  <c r="F68" i="4"/>
  <c r="G68" i="4"/>
  <c r="H68" i="4"/>
  <c r="I68" i="4"/>
  <c r="J68" i="4"/>
  <c r="K68" i="4"/>
  <c r="L68" i="4"/>
  <c r="M68" i="4"/>
  <c r="N68" i="4"/>
  <c r="O68" i="4"/>
  <c r="F69" i="4"/>
  <c r="G69" i="4"/>
  <c r="H69" i="4"/>
  <c r="I69" i="4"/>
  <c r="J69" i="4"/>
  <c r="K69" i="4"/>
  <c r="L69" i="4"/>
  <c r="M69" i="4"/>
  <c r="N69" i="4"/>
  <c r="O69" i="4"/>
  <c r="F70" i="4"/>
  <c r="G70" i="4"/>
  <c r="H70" i="4"/>
  <c r="I70" i="4"/>
  <c r="J70" i="4"/>
  <c r="K70" i="4"/>
  <c r="L70" i="4"/>
  <c r="M70" i="4"/>
  <c r="N70" i="4"/>
  <c r="O70" i="4"/>
  <c r="F71" i="4"/>
  <c r="G71" i="4"/>
  <c r="H71" i="4"/>
  <c r="I71" i="4"/>
  <c r="J71" i="4"/>
  <c r="K71" i="4"/>
  <c r="L71" i="4"/>
  <c r="M71" i="4"/>
  <c r="N71" i="4"/>
  <c r="O71" i="4"/>
  <c r="F72" i="4"/>
  <c r="G72" i="4"/>
  <c r="H72" i="4"/>
  <c r="I72" i="4"/>
  <c r="J72" i="4"/>
  <c r="K72" i="4"/>
  <c r="L72" i="4"/>
  <c r="M72" i="4"/>
  <c r="N72" i="4"/>
  <c r="O72" i="4"/>
  <c r="F73" i="4"/>
  <c r="G73" i="4"/>
  <c r="H73" i="4"/>
  <c r="I73" i="4"/>
  <c r="J73" i="4"/>
  <c r="K73" i="4"/>
  <c r="L73" i="4"/>
  <c r="M73" i="4"/>
  <c r="N73" i="4"/>
  <c r="O73" i="4"/>
  <c r="F74" i="4"/>
  <c r="G74" i="4"/>
  <c r="H74" i="4"/>
  <c r="I74" i="4"/>
  <c r="J74" i="4"/>
  <c r="K74" i="4"/>
  <c r="L74" i="4"/>
  <c r="M74" i="4"/>
  <c r="N74" i="4"/>
  <c r="O74" i="4"/>
  <c r="F75" i="4"/>
  <c r="G75" i="4"/>
  <c r="H75" i="4"/>
  <c r="I75" i="4"/>
  <c r="J75" i="4"/>
  <c r="K75" i="4"/>
  <c r="L75" i="4"/>
  <c r="M75" i="4"/>
  <c r="N75" i="4"/>
  <c r="O75" i="4"/>
  <c r="F76" i="4"/>
  <c r="G76" i="4"/>
  <c r="H76" i="4"/>
  <c r="I76" i="4"/>
  <c r="J76" i="4"/>
  <c r="K76" i="4"/>
  <c r="L76" i="4"/>
  <c r="M76" i="4"/>
  <c r="N76" i="4"/>
  <c r="O76" i="4"/>
  <c r="F77" i="4"/>
  <c r="G77" i="4"/>
  <c r="H77" i="4"/>
  <c r="I77" i="4"/>
  <c r="J77" i="4"/>
  <c r="K77" i="4"/>
  <c r="L77" i="4"/>
  <c r="M77" i="4"/>
  <c r="N77" i="4"/>
  <c r="O77" i="4"/>
  <c r="F78" i="4"/>
  <c r="G78" i="4"/>
  <c r="H78" i="4"/>
  <c r="I78" i="4"/>
  <c r="J78" i="4"/>
  <c r="K78" i="4"/>
  <c r="L78" i="4"/>
  <c r="M78" i="4"/>
  <c r="N78" i="4"/>
  <c r="O78" i="4"/>
  <c r="F79" i="4"/>
  <c r="G79" i="4"/>
  <c r="H79" i="4"/>
  <c r="I79" i="4"/>
  <c r="J79" i="4"/>
  <c r="K79" i="4"/>
  <c r="L79" i="4"/>
  <c r="M79" i="4"/>
  <c r="N79" i="4"/>
  <c r="O79" i="4"/>
  <c r="F80" i="4"/>
  <c r="G80" i="4"/>
  <c r="H80" i="4"/>
  <c r="I80" i="4"/>
  <c r="J80" i="4"/>
  <c r="K80" i="4"/>
  <c r="L80" i="4"/>
  <c r="M80" i="4"/>
  <c r="N80" i="4"/>
  <c r="O80" i="4"/>
  <c r="F81" i="4"/>
  <c r="G81" i="4"/>
  <c r="H81" i="4"/>
  <c r="I81" i="4"/>
  <c r="J81" i="4"/>
  <c r="K81" i="4"/>
  <c r="L81" i="4"/>
  <c r="M81" i="4"/>
  <c r="N81" i="4"/>
  <c r="O81" i="4"/>
  <c r="F82" i="4"/>
  <c r="G82" i="4"/>
  <c r="H82" i="4"/>
  <c r="I82" i="4"/>
  <c r="J82" i="4"/>
  <c r="K82" i="4"/>
  <c r="L82" i="4"/>
  <c r="M82" i="4"/>
  <c r="N82" i="4"/>
  <c r="O82" i="4"/>
  <c r="F83" i="4"/>
  <c r="G83" i="4"/>
  <c r="H83" i="4"/>
  <c r="I83" i="4"/>
  <c r="J83" i="4"/>
  <c r="K83" i="4"/>
  <c r="L83" i="4"/>
  <c r="M83" i="4"/>
  <c r="N83" i="4"/>
  <c r="O83" i="4"/>
  <c r="F84" i="4"/>
  <c r="G84" i="4"/>
  <c r="H84" i="4"/>
  <c r="I84" i="4"/>
  <c r="J84" i="4"/>
  <c r="K84" i="4"/>
  <c r="L84" i="4"/>
  <c r="M84" i="4"/>
  <c r="N84" i="4"/>
  <c r="O84" i="4"/>
  <c r="H26" i="4"/>
  <c r="I26" i="4"/>
  <c r="J26" i="4"/>
  <c r="K26" i="4"/>
  <c r="L26" i="4"/>
  <c r="M26" i="4"/>
  <c r="N26" i="4"/>
  <c r="O26" i="4"/>
  <c r="G26" i="4"/>
  <c r="F26" i="4"/>
  <c r="A4" i="26"/>
  <c r="C73" i="27"/>
  <c r="B73" i="27"/>
  <c r="C72" i="27"/>
  <c r="B72" i="27"/>
  <c r="C71" i="27"/>
  <c r="B71" i="27"/>
  <c r="C70" i="27"/>
  <c r="B70" i="27"/>
  <c r="C69" i="27"/>
  <c r="B69" i="27"/>
  <c r="C68" i="27"/>
  <c r="B68" i="27"/>
  <c r="C67" i="27"/>
  <c r="B67" i="27"/>
  <c r="C66" i="27"/>
  <c r="B66" i="27"/>
  <c r="C65" i="27"/>
  <c r="B65" i="27"/>
  <c r="C64" i="27"/>
  <c r="B64" i="27"/>
  <c r="C63" i="27"/>
  <c r="B63" i="27"/>
  <c r="C62" i="27"/>
  <c r="B62" i="27"/>
  <c r="C61" i="27"/>
  <c r="B61" i="27"/>
  <c r="C60" i="27"/>
  <c r="B60" i="27"/>
  <c r="C59" i="27"/>
  <c r="B59" i="27"/>
  <c r="C58" i="27"/>
  <c r="B58" i="27"/>
  <c r="C57" i="27"/>
  <c r="B57" i="27"/>
  <c r="C56" i="27"/>
  <c r="B56" i="27"/>
  <c r="C55" i="27"/>
  <c r="B55" i="27"/>
  <c r="C54" i="27"/>
  <c r="B54" i="27"/>
  <c r="C53" i="27"/>
  <c r="B53" i="27"/>
  <c r="C52" i="27"/>
  <c r="B52" i="27"/>
  <c r="C51" i="27"/>
  <c r="B51" i="27"/>
  <c r="C50" i="27"/>
  <c r="B50" i="27"/>
  <c r="C49" i="27"/>
  <c r="B49" i="27"/>
  <c r="C48" i="27"/>
  <c r="B48" i="27"/>
  <c r="C47" i="27"/>
  <c r="B47" i="27"/>
  <c r="C46" i="27"/>
  <c r="B46" i="27"/>
  <c r="C45" i="27"/>
  <c r="B45" i="27"/>
  <c r="C44" i="27"/>
  <c r="B44" i="27"/>
  <c r="C43" i="27"/>
  <c r="B43" i="27"/>
  <c r="C42" i="27"/>
  <c r="B42" i="27"/>
  <c r="C41" i="27"/>
  <c r="B41" i="27"/>
  <c r="C40" i="27"/>
  <c r="B40" i="27"/>
  <c r="C39" i="27"/>
  <c r="B39" i="27"/>
  <c r="C38" i="27"/>
  <c r="B38" i="27"/>
  <c r="C37" i="27"/>
  <c r="B37" i="27"/>
  <c r="C36" i="27"/>
  <c r="B36" i="27"/>
  <c r="C35" i="27"/>
  <c r="B35" i="27"/>
  <c r="C34" i="27"/>
  <c r="B34" i="27"/>
  <c r="C33" i="27"/>
  <c r="B33" i="27"/>
  <c r="C32" i="27"/>
  <c r="B32" i="27"/>
  <c r="C31" i="27"/>
  <c r="B31" i="27"/>
  <c r="C30" i="27"/>
  <c r="B30" i="27"/>
  <c r="C29" i="27"/>
  <c r="B29" i="27"/>
  <c r="C28" i="27"/>
  <c r="B28" i="27"/>
  <c r="C27" i="27"/>
  <c r="B27" i="27"/>
  <c r="C26" i="27"/>
  <c r="B26" i="27"/>
  <c r="C25" i="27"/>
  <c r="B25" i="27"/>
  <c r="C24" i="27"/>
  <c r="B24" i="27"/>
  <c r="C23" i="27"/>
  <c r="B23" i="27"/>
  <c r="C22" i="27"/>
  <c r="B22" i="27"/>
  <c r="C21" i="27"/>
  <c r="B21" i="27"/>
  <c r="C20" i="27"/>
  <c r="B20" i="27"/>
  <c r="C19" i="27"/>
  <c r="B19" i="27"/>
  <c r="C18" i="27"/>
  <c r="B18" i="27"/>
  <c r="C17" i="27"/>
  <c r="B17" i="27"/>
  <c r="C16" i="27"/>
  <c r="B16" i="27"/>
  <c r="C15" i="27"/>
  <c r="B15" i="27"/>
  <c r="N11" i="27"/>
  <c r="A11" i="27"/>
  <c r="T10" i="27"/>
  <c r="N10" i="27"/>
  <c r="A6" i="27"/>
  <c r="A4" i="27"/>
  <c r="A3" i="27"/>
  <c r="A2" i="27"/>
  <c r="A83" i="26"/>
  <c r="AD81" i="26"/>
  <c r="O81" i="14" s="1"/>
  <c r="A81" i="26"/>
  <c r="AB80" i="26"/>
  <c r="AC80" i="26" s="1"/>
  <c r="N80" i="14" s="1"/>
  <c r="W80" i="26"/>
  <c r="X80" i="26" s="1"/>
  <c r="M80" i="14" s="1"/>
  <c r="R80" i="26"/>
  <c r="S80" i="26" s="1"/>
  <c r="L80" i="14" s="1"/>
  <c r="M80" i="26"/>
  <c r="N80" i="26" s="1"/>
  <c r="K80" i="14" s="1"/>
  <c r="H80" i="26"/>
  <c r="I80" i="26" s="1"/>
  <c r="J80" i="14" s="1"/>
  <c r="AB79" i="26"/>
  <c r="AC79" i="26" s="1"/>
  <c r="N79" i="14" s="1"/>
  <c r="W79" i="26"/>
  <c r="X79" i="26" s="1"/>
  <c r="M79" i="14" s="1"/>
  <c r="R79" i="26"/>
  <c r="S79" i="26" s="1"/>
  <c r="L79" i="14" s="1"/>
  <c r="M79" i="26"/>
  <c r="N79" i="26" s="1"/>
  <c r="K79" i="14" s="1"/>
  <c r="H79" i="26"/>
  <c r="I79" i="26" s="1"/>
  <c r="J79" i="14" s="1"/>
  <c r="AB78" i="26"/>
  <c r="AC78" i="26" s="1"/>
  <c r="N78" i="14" s="1"/>
  <c r="W78" i="26"/>
  <c r="X78" i="26" s="1"/>
  <c r="M78" i="14" s="1"/>
  <c r="R78" i="26"/>
  <c r="S78" i="26" s="1"/>
  <c r="L78" i="14" s="1"/>
  <c r="M78" i="26"/>
  <c r="N78" i="26" s="1"/>
  <c r="K78" i="14" s="1"/>
  <c r="H78" i="26"/>
  <c r="I78" i="26" s="1"/>
  <c r="J78" i="14" s="1"/>
  <c r="AB77" i="26"/>
  <c r="AC77" i="26" s="1"/>
  <c r="N77" i="14" s="1"/>
  <c r="W77" i="26"/>
  <c r="X77" i="26" s="1"/>
  <c r="M77" i="14" s="1"/>
  <c r="R77" i="26"/>
  <c r="S77" i="26" s="1"/>
  <c r="L77" i="14" s="1"/>
  <c r="M77" i="26"/>
  <c r="N77" i="26" s="1"/>
  <c r="K77" i="14" s="1"/>
  <c r="H77" i="26"/>
  <c r="I77" i="26" s="1"/>
  <c r="J77" i="14" s="1"/>
  <c r="AB76" i="26"/>
  <c r="AC76" i="26" s="1"/>
  <c r="N76" i="14" s="1"/>
  <c r="W76" i="26"/>
  <c r="X76" i="26" s="1"/>
  <c r="M76" i="14" s="1"/>
  <c r="R76" i="26"/>
  <c r="S76" i="26" s="1"/>
  <c r="L76" i="14" s="1"/>
  <c r="M76" i="26"/>
  <c r="N76" i="26" s="1"/>
  <c r="K76" i="14" s="1"/>
  <c r="H76" i="26"/>
  <c r="I76" i="26" s="1"/>
  <c r="J76" i="14" s="1"/>
  <c r="AB75" i="26"/>
  <c r="AC75" i="26" s="1"/>
  <c r="N75" i="14" s="1"/>
  <c r="W75" i="26"/>
  <c r="X75" i="26" s="1"/>
  <c r="M75" i="14" s="1"/>
  <c r="R75" i="26"/>
  <c r="S75" i="26" s="1"/>
  <c r="L75" i="14" s="1"/>
  <c r="M75" i="26"/>
  <c r="N75" i="26" s="1"/>
  <c r="K75" i="14" s="1"/>
  <c r="H75" i="26"/>
  <c r="I75" i="26" s="1"/>
  <c r="J75" i="14" s="1"/>
  <c r="AB74" i="26"/>
  <c r="AC74" i="26" s="1"/>
  <c r="N74" i="14" s="1"/>
  <c r="W74" i="26"/>
  <c r="X74" i="26" s="1"/>
  <c r="M74" i="14" s="1"/>
  <c r="R74" i="26"/>
  <c r="S74" i="26" s="1"/>
  <c r="L74" i="14" s="1"/>
  <c r="M74" i="26"/>
  <c r="N74" i="26" s="1"/>
  <c r="K74" i="14" s="1"/>
  <c r="H74" i="26"/>
  <c r="I74" i="26" s="1"/>
  <c r="J74" i="14" s="1"/>
  <c r="AB73" i="26"/>
  <c r="AC73" i="26" s="1"/>
  <c r="N73" i="14" s="1"/>
  <c r="W73" i="26"/>
  <c r="X73" i="26" s="1"/>
  <c r="M73" i="14" s="1"/>
  <c r="R73" i="26"/>
  <c r="S73" i="26" s="1"/>
  <c r="L73" i="14" s="1"/>
  <c r="M73" i="26"/>
  <c r="N73" i="26" s="1"/>
  <c r="K73" i="14" s="1"/>
  <c r="H73" i="26"/>
  <c r="I73" i="26" s="1"/>
  <c r="J73" i="14" s="1"/>
  <c r="AB72" i="26"/>
  <c r="AC72" i="26" s="1"/>
  <c r="N72" i="14" s="1"/>
  <c r="W72" i="26"/>
  <c r="X72" i="26" s="1"/>
  <c r="M72" i="14" s="1"/>
  <c r="R72" i="26"/>
  <c r="S72" i="26" s="1"/>
  <c r="L72" i="14" s="1"/>
  <c r="M72" i="26"/>
  <c r="N72" i="26" s="1"/>
  <c r="K72" i="14" s="1"/>
  <c r="H72" i="26"/>
  <c r="I72" i="26" s="1"/>
  <c r="J72" i="14" s="1"/>
  <c r="AB71" i="26"/>
  <c r="AC71" i="26" s="1"/>
  <c r="N71" i="14" s="1"/>
  <c r="W71" i="26"/>
  <c r="X71" i="26" s="1"/>
  <c r="M71" i="14" s="1"/>
  <c r="R71" i="26"/>
  <c r="S71" i="26" s="1"/>
  <c r="L71" i="14" s="1"/>
  <c r="M71" i="26"/>
  <c r="N71" i="26" s="1"/>
  <c r="K71" i="14" s="1"/>
  <c r="H71" i="26"/>
  <c r="I71" i="26" s="1"/>
  <c r="J71" i="14" s="1"/>
  <c r="AB70" i="26"/>
  <c r="AC70" i="26" s="1"/>
  <c r="N70" i="14" s="1"/>
  <c r="W70" i="26"/>
  <c r="X70" i="26" s="1"/>
  <c r="M70" i="14" s="1"/>
  <c r="R70" i="26"/>
  <c r="S70" i="26" s="1"/>
  <c r="L70" i="14" s="1"/>
  <c r="M70" i="26"/>
  <c r="N70" i="26" s="1"/>
  <c r="K70" i="14" s="1"/>
  <c r="H70" i="26"/>
  <c r="I70" i="26" s="1"/>
  <c r="J70" i="14" s="1"/>
  <c r="AB69" i="26"/>
  <c r="AC69" i="26" s="1"/>
  <c r="N69" i="14" s="1"/>
  <c r="W69" i="26"/>
  <c r="X69" i="26" s="1"/>
  <c r="M69" i="14" s="1"/>
  <c r="R69" i="26"/>
  <c r="S69" i="26" s="1"/>
  <c r="L69" i="14" s="1"/>
  <c r="M69" i="26"/>
  <c r="N69" i="26" s="1"/>
  <c r="K69" i="14" s="1"/>
  <c r="H69" i="26"/>
  <c r="I69" i="26" s="1"/>
  <c r="J69" i="14" s="1"/>
  <c r="AB68" i="26"/>
  <c r="AC68" i="26" s="1"/>
  <c r="N68" i="14" s="1"/>
  <c r="W68" i="26"/>
  <c r="X68" i="26" s="1"/>
  <c r="M68" i="14" s="1"/>
  <c r="R68" i="26"/>
  <c r="S68" i="26" s="1"/>
  <c r="L68" i="14" s="1"/>
  <c r="M68" i="26"/>
  <c r="N68" i="26" s="1"/>
  <c r="K68" i="14" s="1"/>
  <c r="H68" i="26"/>
  <c r="I68" i="26" s="1"/>
  <c r="J68" i="14" s="1"/>
  <c r="AB67" i="26"/>
  <c r="AC67" i="26" s="1"/>
  <c r="N67" i="14" s="1"/>
  <c r="W67" i="26"/>
  <c r="X67" i="26" s="1"/>
  <c r="M67" i="14" s="1"/>
  <c r="R67" i="26"/>
  <c r="S67" i="26" s="1"/>
  <c r="L67" i="14" s="1"/>
  <c r="M67" i="26"/>
  <c r="N67" i="26" s="1"/>
  <c r="K67" i="14" s="1"/>
  <c r="H67" i="26"/>
  <c r="I67" i="26" s="1"/>
  <c r="J67" i="14" s="1"/>
  <c r="AB66" i="26"/>
  <c r="AC66" i="26" s="1"/>
  <c r="N66" i="14" s="1"/>
  <c r="W66" i="26"/>
  <c r="X66" i="26" s="1"/>
  <c r="M66" i="14" s="1"/>
  <c r="R66" i="26"/>
  <c r="S66" i="26" s="1"/>
  <c r="L66" i="14" s="1"/>
  <c r="M66" i="26"/>
  <c r="N66" i="26" s="1"/>
  <c r="K66" i="14" s="1"/>
  <c r="H66" i="26"/>
  <c r="I66" i="26" s="1"/>
  <c r="J66" i="14" s="1"/>
  <c r="AB65" i="26"/>
  <c r="AC65" i="26" s="1"/>
  <c r="N65" i="14" s="1"/>
  <c r="W65" i="26"/>
  <c r="X65" i="26" s="1"/>
  <c r="M65" i="14" s="1"/>
  <c r="R65" i="26"/>
  <c r="S65" i="26" s="1"/>
  <c r="L65" i="14" s="1"/>
  <c r="M65" i="26"/>
  <c r="N65" i="26" s="1"/>
  <c r="K65" i="14" s="1"/>
  <c r="H65" i="26"/>
  <c r="I65" i="26" s="1"/>
  <c r="J65" i="14" s="1"/>
  <c r="AB64" i="26"/>
  <c r="AC64" i="26" s="1"/>
  <c r="N64" i="14" s="1"/>
  <c r="W64" i="26"/>
  <c r="X64" i="26" s="1"/>
  <c r="M64" i="14" s="1"/>
  <c r="R64" i="26"/>
  <c r="S64" i="26" s="1"/>
  <c r="L64" i="14" s="1"/>
  <c r="M64" i="26"/>
  <c r="N64" i="26" s="1"/>
  <c r="K64" i="14" s="1"/>
  <c r="H64" i="26"/>
  <c r="I64" i="26" s="1"/>
  <c r="J64" i="14" s="1"/>
  <c r="AB63" i="26"/>
  <c r="AC63" i="26" s="1"/>
  <c r="N63" i="14" s="1"/>
  <c r="W63" i="26"/>
  <c r="X63" i="26" s="1"/>
  <c r="M63" i="14" s="1"/>
  <c r="R63" i="26"/>
  <c r="S63" i="26" s="1"/>
  <c r="L63" i="14" s="1"/>
  <c r="M63" i="26"/>
  <c r="N63" i="26" s="1"/>
  <c r="K63" i="14" s="1"/>
  <c r="H63" i="26"/>
  <c r="I63" i="26" s="1"/>
  <c r="J63" i="14" s="1"/>
  <c r="AB62" i="26"/>
  <c r="AC62" i="26" s="1"/>
  <c r="N62" i="14" s="1"/>
  <c r="W62" i="26"/>
  <c r="X62" i="26" s="1"/>
  <c r="M62" i="14" s="1"/>
  <c r="R62" i="26"/>
  <c r="S62" i="26" s="1"/>
  <c r="L62" i="14" s="1"/>
  <c r="M62" i="26"/>
  <c r="N62" i="26" s="1"/>
  <c r="K62" i="14" s="1"/>
  <c r="H62" i="26"/>
  <c r="I62" i="26" s="1"/>
  <c r="J62" i="14" s="1"/>
  <c r="AB61" i="26"/>
  <c r="AC61" i="26" s="1"/>
  <c r="N61" i="14" s="1"/>
  <c r="W61" i="26"/>
  <c r="X61" i="26" s="1"/>
  <c r="M61" i="14" s="1"/>
  <c r="R61" i="26"/>
  <c r="S61" i="26" s="1"/>
  <c r="L61" i="14" s="1"/>
  <c r="M61" i="26"/>
  <c r="N61" i="26" s="1"/>
  <c r="K61" i="14" s="1"/>
  <c r="H61" i="26"/>
  <c r="I61" i="26" s="1"/>
  <c r="J61" i="14" s="1"/>
  <c r="AB60" i="26"/>
  <c r="AC60" i="26" s="1"/>
  <c r="N60" i="14" s="1"/>
  <c r="W60" i="26"/>
  <c r="X60" i="26" s="1"/>
  <c r="M60" i="14" s="1"/>
  <c r="R60" i="26"/>
  <c r="S60" i="26" s="1"/>
  <c r="L60" i="14" s="1"/>
  <c r="M60" i="26"/>
  <c r="N60" i="26" s="1"/>
  <c r="K60" i="14" s="1"/>
  <c r="H60" i="26"/>
  <c r="I60" i="26" s="1"/>
  <c r="J60" i="14" s="1"/>
  <c r="AB59" i="26"/>
  <c r="AC59" i="26" s="1"/>
  <c r="N59" i="14" s="1"/>
  <c r="W59" i="26"/>
  <c r="X59" i="26" s="1"/>
  <c r="M59" i="14" s="1"/>
  <c r="R59" i="26"/>
  <c r="S59" i="26" s="1"/>
  <c r="L59" i="14" s="1"/>
  <c r="M59" i="26"/>
  <c r="N59" i="26" s="1"/>
  <c r="K59" i="14" s="1"/>
  <c r="H59" i="26"/>
  <c r="I59" i="26" s="1"/>
  <c r="J59" i="14" s="1"/>
  <c r="AB58" i="26"/>
  <c r="AC58" i="26" s="1"/>
  <c r="N58" i="14" s="1"/>
  <c r="W58" i="26"/>
  <c r="X58" i="26" s="1"/>
  <c r="M58" i="14" s="1"/>
  <c r="R58" i="26"/>
  <c r="S58" i="26" s="1"/>
  <c r="L58" i="14" s="1"/>
  <c r="M58" i="26"/>
  <c r="N58" i="26" s="1"/>
  <c r="K58" i="14" s="1"/>
  <c r="H58" i="26"/>
  <c r="I58" i="26" s="1"/>
  <c r="J58" i="14" s="1"/>
  <c r="AB57" i="26"/>
  <c r="AC57" i="26" s="1"/>
  <c r="N57" i="14" s="1"/>
  <c r="W57" i="26"/>
  <c r="X57" i="26" s="1"/>
  <c r="M57" i="14" s="1"/>
  <c r="R57" i="26"/>
  <c r="S57" i="26" s="1"/>
  <c r="L57" i="14" s="1"/>
  <c r="M57" i="26"/>
  <c r="N57" i="26" s="1"/>
  <c r="K57" i="14" s="1"/>
  <c r="H57" i="26"/>
  <c r="I57" i="26" s="1"/>
  <c r="J57" i="14" s="1"/>
  <c r="AB56" i="26"/>
  <c r="AC56" i="26" s="1"/>
  <c r="N56" i="14" s="1"/>
  <c r="W56" i="26"/>
  <c r="X56" i="26" s="1"/>
  <c r="M56" i="14" s="1"/>
  <c r="R56" i="26"/>
  <c r="S56" i="26" s="1"/>
  <c r="L56" i="14" s="1"/>
  <c r="M56" i="26"/>
  <c r="N56" i="26" s="1"/>
  <c r="K56" i="14" s="1"/>
  <c r="H56" i="26"/>
  <c r="I56" i="26" s="1"/>
  <c r="J56" i="14" s="1"/>
  <c r="AB55" i="26"/>
  <c r="AC55" i="26" s="1"/>
  <c r="N55" i="14" s="1"/>
  <c r="W55" i="26"/>
  <c r="X55" i="26" s="1"/>
  <c r="M55" i="14" s="1"/>
  <c r="R55" i="26"/>
  <c r="S55" i="26" s="1"/>
  <c r="L55" i="14" s="1"/>
  <c r="M55" i="26"/>
  <c r="N55" i="26" s="1"/>
  <c r="K55" i="14" s="1"/>
  <c r="H55" i="26"/>
  <c r="I55" i="26" s="1"/>
  <c r="J55" i="14" s="1"/>
  <c r="AB54" i="26"/>
  <c r="AC54" i="26" s="1"/>
  <c r="N54" i="14" s="1"/>
  <c r="W54" i="26"/>
  <c r="X54" i="26" s="1"/>
  <c r="M54" i="14" s="1"/>
  <c r="R54" i="26"/>
  <c r="S54" i="26" s="1"/>
  <c r="L54" i="14" s="1"/>
  <c r="M54" i="26"/>
  <c r="N54" i="26" s="1"/>
  <c r="K54" i="14" s="1"/>
  <c r="H54" i="26"/>
  <c r="I54" i="26" s="1"/>
  <c r="J54" i="14" s="1"/>
  <c r="AB53" i="26"/>
  <c r="AC53" i="26" s="1"/>
  <c r="N53" i="14" s="1"/>
  <c r="W53" i="26"/>
  <c r="X53" i="26" s="1"/>
  <c r="M53" i="14" s="1"/>
  <c r="R53" i="26"/>
  <c r="S53" i="26" s="1"/>
  <c r="L53" i="14" s="1"/>
  <c r="M53" i="26"/>
  <c r="N53" i="26" s="1"/>
  <c r="K53" i="14" s="1"/>
  <c r="H53" i="26"/>
  <c r="I53" i="26" s="1"/>
  <c r="J53" i="14" s="1"/>
  <c r="AB52" i="26"/>
  <c r="AC52" i="26" s="1"/>
  <c r="N52" i="14" s="1"/>
  <c r="W52" i="26"/>
  <c r="X52" i="26" s="1"/>
  <c r="M52" i="14" s="1"/>
  <c r="R52" i="26"/>
  <c r="S52" i="26" s="1"/>
  <c r="L52" i="14" s="1"/>
  <c r="M52" i="26"/>
  <c r="N52" i="26" s="1"/>
  <c r="K52" i="14" s="1"/>
  <c r="H52" i="26"/>
  <c r="I52" i="26" s="1"/>
  <c r="J52" i="14" s="1"/>
  <c r="AB51" i="26"/>
  <c r="AC51" i="26" s="1"/>
  <c r="N51" i="14" s="1"/>
  <c r="W51" i="26"/>
  <c r="X51" i="26" s="1"/>
  <c r="M51" i="14" s="1"/>
  <c r="R51" i="26"/>
  <c r="S51" i="26" s="1"/>
  <c r="L51" i="14" s="1"/>
  <c r="M51" i="26"/>
  <c r="N51" i="26" s="1"/>
  <c r="K51" i="14" s="1"/>
  <c r="H51" i="26"/>
  <c r="I51" i="26" s="1"/>
  <c r="J51" i="14" s="1"/>
  <c r="AB50" i="26"/>
  <c r="AC50" i="26" s="1"/>
  <c r="N50" i="14" s="1"/>
  <c r="W50" i="26"/>
  <c r="X50" i="26" s="1"/>
  <c r="M50" i="14" s="1"/>
  <c r="R50" i="26"/>
  <c r="S50" i="26" s="1"/>
  <c r="L50" i="14" s="1"/>
  <c r="M50" i="26"/>
  <c r="N50" i="26" s="1"/>
  <c r="K50" i="14" s="1"/>
  <c r="H50" i="26"/>
  <c r="I50" i="26" s="1"/>
  <c r="J50" i="14" s="1"/>
  <c r="AB49" i="26"/>
  <c r="AC49" i="26" s="1"/>
  <c r="N49" i="14" s="1"/>
  <c r="W49" i="26"/>
  <c r="X49" i="26" s="1"/>
  <c r="M49" i="14" s="1"/>
  <c r="R49" i="26"/>
  <c r="S49" i="26" s="1"/>
  <c r="L49" i="14" s="1"/>
  <c r="M49" i="26"/>
  <c r="N49" i="26" s="1"/>
  <c r="K49" i="14" s="1"/>
  <c r="H49" i="26"/>
  <c r="I49" i="26" s="1"/>
  <c r="J49" i="14" s="1"/>
  <c r="AB48" i="26"/>
  <c r="AC48" i="26" s="1"/>
  <c r="N48" i="14" s="1"/>
  <c r="W48" i="26"/>
  <c r="X48" i="26" s="1"/>
  <c r="M48" i="14" s="1"/>
  <c r="R48" i="26"/>
  <c r="S48" i="26" s="1"/>
  <c r="L48" i="14" s="1"/>
  <c r="M48" i="26"/>
  <c r="N48" i="26" s="1"/>
  <c r="K48" i="14" s="1"/>
  <c r="H48" i="26"/>
  <c r="I48" i="26" s="1"/>
  <c r="J48" i="14" s="1"/>
  <c r="AB47" i="26"/>
  <c r="AC47" i="26" s="1"/>
  <c r="N47" i="14" s="1"/>
  <c r="W47" i="26"/>
  <c r="X47" i="26" s="1"/>
  <c r="M47" i="14" s="1"/>
  <c r="R47" i="26"/>
  <c r="S47" i="26" s="1"/>
  <c r="L47" i="14" s="1"/>
  <c r="M47" i="26"/>
  <c r="N47" i="26" s="1"/>
  <c r="K47" i="14" s="1"/>
  <c r="H47" i="26"/>
  <c r="I47" i="26" s="1"/>
  <c r="J47" i="14" s="1"/>
  <c r="AB46" i="26"/>
  <c r="AC46" i="26" s="1"/>
  <c r="N46" i="14" s="1"/>
  <c r="W46" i="26"/>
  <c r="X46" i="26" s="1"/>
  <c r="M46" i="14" s="1"/>
  <c r="R46" i="26"/>
  <c r="S46" i="26" s="1"/>
  <c r="L46" i="14" s="1"/>
  <c r="M46" i="26"/>
  <c r="N46" i="26" s="1"/>
  <c r="K46" i="14" s="1"/>
  <c r="H46" i="26"/>
  <c r="I46" i="26" s="1"/>
  <c r="J46" i="14" s="1"/>
  <c r="AB45" i="26"/>
  <c r="AC45" i="26" s="1"/>
  <c r="N45" i="14" s="1"/>
  <c r="W45" i="26"/>
  <c r="X45" i="26" s="1"/>
  <c r="M45" i="14" s="1"/>
  <c r="R45" i="26"/>
  <c r="S45" i="26" s="1"/>
  <c r="L45" i="14" s="1"/>
  <c r="M45" i="26"/>
  <c r="N45" i="26" s="1"/>
  <c r="K45" i="14" s="1"/>
  <c r="H45" i="26"/>
  <c r="I45" i="26" s="1"/>
  <c r="J45" i="14" s="1"/>
  <c r="AB44" i="26"/>
  <c r="AC44" i="26" s="1"/>
  <c r="N44" i="14" s="1"/>
  <c r="W44" i="26"/>
  <c r="X44" i="26" s="1"/>
  <c r="M44" i="14" s="1"/>
  <c r="R44" i="26"/>
  <c r="S44" i="26" s="1"/>
  <c r="L44" i="14" s="1"/>
  <c r="M44" i="26"/>
  <c r="N44" i="26" s="1"/>
  <c r="K44" i="14" s="1"/>
  <c r="H44" i="26"/>
  <c r="I44" i="26" s="1"/>
  <c r="J44" i="14" s="1"/>
  <c r="AB43" i="26"/>
  <c r="AC43" i="26" s="1"/>
  <c r="N43" i="14" s="1"/>
  <c r="W43" i="26"/>
  <c r="X43" i="26" s="1"/>
  <c r="M43" i="14" s="1"/>
  <c r="R43" i="26"/>
  <c r="S43" i="26" s="1"/>
  <c r="L43" i="14" s="1"/>
  <c r="M43" i="26"/>
  <c r="N43" i="26" s="1"/>
  <c r="K43" i="14" s="1"/>
  <c r="H43" i="26"/>
  <c r="I43" i="26" s="1"/>
  <c r="J43" i="14" s="1"/>
  <c r="AB42" i="26"/>
  <c r="AC42" i="26" s="1"/>
  <c r="N42" i="14" s="1"/>
  <c r="W42" i="26"/>
  <c r="X42" i="26" s="1"/>
  <c r="M42" i="14" s="1"/>
  <c r="R42" i="26"/>
  <c r="S42" i="26" s="1"/>
  <c r="L42" i="14" s="1"/>
  <c r="M42" i="26"/>
  <c r="N42" i="26" s="1"/>
  <c r="K42" i="14" s="1"/>
  <c r="H42" i="26"/>
  <c r="I42" i="26" s="1"/>
  <c r="J42" i="14" s="1"/>
  <c r="AB41" i="26"/>
  <c r="AC41" i="26" s="1"/>
  <c r="N41" i="14" s="1"/>
  <c r="W41" i="26"/>
  <c r="X41" i="26" s="1"/>
  <c r="M41" i="14" s="1"/>
  <c r="R41" i="26"/>
  <c r="S41" i="26" s="1"/>
  <c r="L41" i="14" s="1"/>
  <c r="M41" i="26"/>
  <c r="N41" i="26" s="1"/>
  <c r="K41" i="14" s="1"/>
  <c r="H41" i="26"/>
  <c r="I41" i="26" s="1"/>
  <c r="J41" i="14" s="1"/>
  <c r="AB40" i="26"/>
  <c r="AC40" i="26" s="1"/>
  <c r="N40" i="14" s="1"/>
  <c r="W40" i="26"/>
  <c r="X40" i="26" s="1"/>
  <c r="M40" i="14" s="1"/>
  <c r="R40" i="26"/>
  <c r="S40" i="26" s="1"/>
  <c r="L40" i="14" s="1"/>
  <c r="M40" i="26"/>
  <c r="N40" i="26" s="1"/>
  <c r="K40" i="14" s="1"/>
  <c r="H40" i="26"/>
  <c r="I40" i="26" s="1"/>
  <c r="J40" i="14" s="1"/>
  <c r="AB39" i="26"/>
  <c r="AC39" i="26" s="1"/>
  <c r="N39" i="14" s="1"/>
  <c r="W39" i="26"/>
  <c r="X39" i="26" s="1"/>
  <c r="M39" i="14" s="1"/>
  <c r="R39" i="26"/>
  <c r="S39" i="26" s="1"/>
  <c r="L39" i="14" s="1"/>
  <c r="M39" i="26"/>
  <c r="N39" i="26" s="1"/>
  <c r="K39" i="14" s="1"/>
  <c r="H39" i="26"/>
  <c r="I39" i="26" s="1"/>
  <c r="J39" i="14" s="1"/>
  <c r="AB38" i="26"/>
  <c r="AC38" i="26" s="1"/>
  <c r="N38" i="14" s="1"/>
  <c r="W38" i="26"/>
  <c r="X38" i="26" s="1"/>
  <c r="M38" i="14" s="1"/>
  <c r="R38" i="26"/>
  <c r="S38" i="26" s="1"/>
  <c r="L38" i="14" s="1"/>
  <c r="M38" i="26"/>
  <c r="N38" i="26" s="1"/>
  <c r="K38" i="14" s="1"/>
  <c r="H38" i="26"/>
  <c r="I38" i="26" s="1"/>
  <c r="J38" i="14" s="1"/>
  <c r="AB37" i="26"/>
  <c r="AC37" i="26" s="1"/>
  <c r="N37" i="14" s="1"/>
  <c r="W37" i="26"/>
  <c r="X37" i="26" s="1"/>
  <c r="M37" i="14" s="1"/>
  <c r="R37" i="26"/>
  <c r="S37" i="26" s="1"/>
  <c r="L37" i="14" s="1"/>
  <c r="M37" i="26"/>
  <c r="N37" i="26" s="1"/>
  <c r="K37" i="14" s="1"/>
  <c r="H37" i="26"/>
  <c r="I37" i="26" s="1"/>
  <c r="J37" i="14" s="1"/>
  <c r="AB36" i="26"/>
  <c r="AC36" i="26" s="1"/>
  <c r="N36" i="14" s="1"/>
  <c r="W36" i="26"/>
  <c r="X36" i="26" s="1"/>
  <c r="M36" i="14" s="1"/>
  <c r="R36" i="26"/>
  <c r="S36" i="26" s="1"/>
  <c r="L36" i="14" s="1"/>
  <c r="M36" i="26"/>
  <c r="N36" i="26" s="1"/>
  <c r="K36" i="14" s="1"/>
  <c r="H36" i="26"/>
  <c r="I36" i="26" s="1"/>
  <c r="J36" i="14" s="1"/>
  <c r="AB35" i="26"/>
  <c r="AC35" i="26" s="1"/>
  <c r="N35" i="14" s="1"/>
  <c r="W35" i="26"/>
  <c r="X35" i="26" s="1"/>
  <c r="M35" i="14" s="1"/>
  <c r="R35" i="26"/>
  <c r="S35" i="26" s="1"/>
  <c r="L35" i="14" s="1"/>
  <c r="M35" i="26"/>
  <c r="N35" i="26" s="1"/>
  <c r="K35" i="14" s="1"/>
  <c r="H35" i="26"/>
  <c r="I35" i="26" s="1"/>
  <c r="J35" i="14" s="1"/>
  <c r="AB34" i="26"/>
  <c r="AC34" i="26" s="1"/>
  <c r="N34" i="14" s="1"/>
  <c r="W34" i="26"/>
  <c r="X34" i="26" s="1"/>
  <c r="M34" i="14" s="1"/>
  <c r="R34" i="26"/>
  <c r="S34" i="26" s="1"/>
  <c r="L34" i="14" s="1"/>
  <c r="M34" i="26"/>
  <c r="N34" i="26" s="1"/>
  <c r="K34" i="14" s="1"/>
  <c r="H34" i="26"/>
  <c r="I34" i="26" s="1"/>
  <c r="J34" i="14" s="1"/>
  <c r="AB33" i="26"/>
  <c r="AC33" i="26" s="1"/>
  <c r="N33" i="14" s="1"/>
  <c r="W33" i="26"/>
  <c r="X33" i="26" s="1"/>
  <c r="M33" i="14" s="1"/>
  <c r="R33" i="26"/>
  <c r="S33" i="26" s="1"/>
  <c r="L33" i="14" s="1"/>
  <c r="M33" i="26"/>
  <c r="N33" i="26" s="1"/>
  <c r="K33" i="14" s="1"/>
  <c r="H33" i="26"/>
  <c r="I33" i="26" s="1"/>
  <c r="J33" i="14" s="1"/>
  <c r="AB32" i="26"/>
  <c r="AC32" i="26" s="1"/>
  <c r="N32" i="14" s="1"/>
  <c r="W32" i="26"/>
  <c r="X32" i="26" s="1"/>
  <c r="M32" i="14" s="1"/>
  <c r="R32" i="26"/>
  <c r="S32" i="26" s="1"/>
  <c r="L32" i="14" s="1"/>
  <c r="M32" i="26"/>
  <c r="N32" i="26" s="1"/>
  <c r="K32" i="14" s="1"/>
  <c r="H32" i="26"/>
  <c r="I32" i="26" s="1"/>
  <c r="J32" i="14" s="1"/>
  <c r="AB31" i="26"/>
  <c r="AC31" i="26" s="1"/>
  <c r="N31" i="14" s="1"/>
  <c r="W31" i="26"/>
  <c r="X31" i="26" s="1"/>
  <c r="M31" i="14" s="1"/>
  <c r="R31" i="26"/>
  <c r="S31" i="26" s="1"/>
  <c r="L31" i="14" s="1"/>
  <c r="M31" i="26"/>
  <c r="N31" i="26" s="1"/>
  <c r="K31" i="14" s="1"/>
  <c r="H31" i="26"/>
  <c r="I31" i="26" s="1"/>
  <c r="J31" i="14" s="1"/>
  <c r="AB30" i="26"/>
  <c r="AC30" i="26" s="1"/>
  <c r="N30" i="14" s="1"/>
  <c r="W30" i="26"/>
  <c r="X30" i="26" s="1"/>
  <c r="M30" i="14" s="1"/>
  <c r="R30" i="26"/>
  <c r="S30" i="26" s="1"/>
  <c r="L30" i="14" s="1"/>
  <c r="M30" i="26"/>
  <c r="N30" i="26" s="1"/>
  <c r="K30" i="14" s="1"/>
  <c r="H30" i="26"/>
  <c r="I30" i="26" s="1"/>
  <c r="J30" i="14" s="1"/>
  <c r="AB29" i="26"/>
  <c r="AC29" i="26" s="1"/>
  <c r="N29" i="14" s="1"/>
  <c r="W29" i="26"/>
  <c r="X29" i="26" s="1"/>
  <c r="M29" i="14" s="1"/>
  <c r="R29" i="26"/>
  <c r="S29" i="26" s="1"/>
  <c r="L29" i="14" s="1"/>
  <c r="M29" i="26"/>
  <c r="N29" i="26" s="1"/>
  <c r="K29" i="14" s="1"/>
  <c r="H29" i="26"/>
  <c r="I29" i="26" s="1"/>
  <c r="J29" i="14" s="1"/>
  <c r="AB28" i="26"/>
  <c r="AC28" i="26" s="1"/>
  <c r="N28" i="14" s="1"/>
  <c r="W28" i="26"/>
  <c r="X28" i="26" s="1"/>
  <c r="M28" i="14" s="1"/>
  <c r="R28" i="26"/>
  <c r="S28" i="26" s="1"/>
  <c r="L28" i="14" s="1"/>
  <c r="M28" i="26"/>
  <c r="N28" i="26" s="1"/>
  <c r="K28" i="14" s="1"/>
  <c r="H28" i="26"/>
  <c r="I28" i="26" s="1"/>
  <c r="J28" i="14" s="1"/>
  <c r="AB27" i="26"/>
  <c r="AC27" i="26" s="1"/>
  <c r="N27" i="14" s="1"/>
  <c r="W27" i="26"/>
  <c r="X27" i="26" s="1"/>
  <c r="M27" i="14" s="1"/>
  <c r="R27" i="26"/>
  <c r="S27" i="26" s="1"/>
  <c r="L27" i="14" s="1"/>
  <c r="M27" i="26"/>
  <c r="N27" i="26" s="1"/>
  <c r="K27" i="14" s="1"/>
  <c r="H27" i="26"/>
  <c r="I27" i="26" s="1"/>
  <c r="J27" i="14" s="1"/>
  <c r="AB26" i="26"/>
  <c r="AC26" i="26" s="1"/>
  <c r="N26" i="14" s="1"/>
  <c r="W26" i="26"/>
  <c r="X26" i="26" s="1"/>
  <c r="M26" i="14" s="1"/>
  <c r="R26" i="26"/>
  <c r="S26" i="26" s="1"/>
  <c r="L26" i="14" s="1"/>
  <c r="M26" i="26"/>
  <c r="N26" i="26" s="1"/>
  <c r="K26" i="14" s="1"/>
  <c r="H26" i="26"/>
  <c r="I26" i="26" s="1"/>
  <c r="J26" i="14" s="1"/>
  <c r="AB25" i="26"/>
  <c r="AC25" i="26" s="1"/>
  <c r="N25" i="14" s="1"/>
  <c r="W25" i="26"/>
  <c r="X25" i="26" s="1"/>
  <c r="M25" i="14" s="1"/>
  <c r="R25" i="26"/>
  <c r="S25" i="26" s="1"/>
  <c r="L25" i="14" s="1"/>
  <c r="M25" i="26"/>
  <c r="N25" i="26" s="1"/>
  <c r="K25" i="14" s="1"/>
  <c r="H25" i="26"/>
  <c r="I25" i="26" s="1"/>
  <c r="J25" i="14" s="1"/>
  <c r="AB24" i="26"/>
  <c r="AC24" i="26" s="1"/>
  <c r="W24" i="26"/>
  <c r="X24" i="26" s="1"/>
  <c r="M24" i="14" s="1"/>
  <c r="S24" i="26"/>
  <c r="L24" i="14" s="1"/>
  <c r="M24" i="26"/>
  <c r="N24" i="26" s="1"/>
  <c r="H24" i="26"/>
  <c r="I24" i="26" s="1"/>
  <c r="N23" i="26"/>
  <c r="X23" i="26" s="1"/>
  <c r="B17" i="26"/>
  <c r="A17" i="26"/>
  <c r="B16" i="26"/>
  <c r="A16" i="26"/>
  <c r="B15" i="26"/>
  <c r="A15" i="26"/>
  <c r="B14" i="26"/>
  <c r="A14" i="26"/>
  <c r="B13" i="26"/>
  <c r="A13" i="26"/>
  <c r="A12" i="26"/>
  <c r="J9" i="26"/>
  <c r="G9" i="26"/>
  <c r="F9" i="26"/>
  <c r="O8" i="26"/>
  <c r="K8" i="26"/>
  <c r="G8" i="26"/>
  <c r="A4" i="21"/>
  <c r="B4" i="14"/>
  <c r="F22" i="20"/>
  <c r="F24" i="20"/>
  <c r="F21" i="20"/>
  <c r="F26" i="20"/>
  <c r="F27" i="20"/>
  <c r="M25" i="10"/>
  <c r="M26" i="10"/>
  <c r="M27" i="10"/>
  <c r="M28" i="10"/>
  <c r="M29" i="10"/>
  <c r="M30" i="10"/>
  <c r="M21" i="10"/>
  <c r="M22" i="10"/>
  <c r="M23" i="10"/>
  <c r="M24" i="10"/>
  <c r="M20" i="10"/>
  <c r="M25" i="17"/>
  <c r="M26" i="17"/>
  <c r="M27" i="17"/>
  <c r="M28" i="17"/>
  <c r="M29" i="17"/>
  <c r="M30" i="17"/>
  <c r="M23" i="17"/>
  <c r="M24" i="17"/>
  <c r="M22" i="17"/>
  <c r="M21" i="17"/>
  <c r="M20" i="17"/>
  <c r="H23" i="2"/>
  <c r="N23" i="2"/>
  <c r="M17" i="16"/>
  <c r="N17" i="16"/>
  <c r="O17" i="16"/>
  <c r="P17" i="16"/>
  <c r="Q17" i="16"/>
  <c r="R17" i="16"/>
  <c r="S17" i="16"/>
  <c r="T17" i="16"/>
  <c r="U17" i="16"/>
  <c r="V17" i="16"/>
  <c r="W17" i="16"/>
  <c r="X17" i="16"/>
  <c r="Y17" i="16"/>
  <c r="Z17" i="16"/>
  <c r="M16" i="16"/>
  <c r="N16" i="16"/>
  <c r="O16" i="16"/>
  <c r="P16" i="16"/>
  <c r="Q16" i="16"/>
  <c r="R16" i="16"/>
  <c r="S16" i="16"/>
  <c r="T16" i="16"/>
  <c r="U16" i="16"/>
  <c r="V16" i="16"/>
  <c r="W16" i="16"/>
  <c r="X16" i="16"/>
  <c r="Y16" i="16"/>
  <c r="Z16" i="16"/>
  <c r="M15" i="16"/>
  <c r="N15" i="16"/>
  <c r="O15" i="16"/>
  <c r="P15" i="16"/>
  <c r="Q15" i="16"/>
  <c r="R15" i="16"/>
  <c r="S15" i="16"/>
  <c r="T15" i="16"/>
  <c r="U15" i="16"/>
  <c r="V15" i="16"/>
  <c r="W15" i="16"/>
  <c r="X15" i="16"/>
  <c r="Y15" i="16"/>
  <c r="Z15" i="16"/>
  <c r="M14" i="16"/>
  <c r="N14" i="16"/>
  <c r="O14" i="16"/>
  <c r="P14" i="16"/>
  <c r="Q14" i="16"/>
  <c r="R14" i="16"/>
  <c r="S14" i="16"/>
  <c r="T14" i="16"/>
  <c r="U14" i="16"/>
  <c r="V14" i="16"/>
  <c r="W14" i="16"/>
  <c r="X14" i="16"/>
  <c r="Y14" i="16"/>
  <c r="Z14" i="16"/>
  <c r="L15" i="16"/>
  <c r="L16" i="16"/>
  <c r="L17" i="16"/>
  <c r="L14" i="16"/>
  <c r="M13" i="16"/>
  <c r="N13" i="16"/>
  <c r="O13" i="16"/>
  <c r="P13" i="16"/>
  <c r="Q13" i="16"/>
  <c r="R13" i="16"/>
  <c r="S13" i="16"/>
  <c r="T13" i="16"/>
  <c r="U13" i="16"/>
  <c r="V13" i="16"/>
  <c r="W13" i="16"/>
  <c r="X13" i="16"/>
  <c r="Y13" i="16"/>
  <c r="Z13" i="16"/>
  <c r="L13" i="16"/>
  <c r="Q75" i="5" l="1"/>
  <c r="T74" i="5"/>
  <c r="S50" i="5"/>
  <c r="P50" i="5"/>
  <c r="N81" i="5"/>
  <c r="S80" i="5" s="1"/>
  <c r="F81" i="5"/>
  <c r="P80" i="5" s="1"/>
  <c r="P81" i="5" s="1"/>
  <c r="O81" i="5"/>
  <c r="T80" i="5" s="1"/>
  <c r="H81" i="5"/>
  <c r="M81" i="5"/>
  <c r="G81" i="5"/>
  <c r="Q80" i="5" s="1"/>
  <c r="N81" i="26"/>
  <c r="K81" i="14" s="1"/>
  <c r="S23" i="26"/>
  <c r="AD23" i="26" s="1"/>
  <c r="AC81" i="26"/>
  <c r="N81" i="14" s="1"/>
  <c r="N24" i="14"/>
  <c r="K24" i="14"/>
  <c r="I81" i="26"/>
  <c r="J81" i="14" s="1"/>
  <c r="J24" i="14"/>
  <c r="Z72" i="4"/>
  <c r="AA72" i="4" s="1"/>
  <c r="Z74" i="4"/>
  <c r="AA74" i="4" s="1"/>
  <c r="Z73" i="4"/>
  <c r="AA73" i="4" s="1"/>
  <c r="Z75" i="4"/>
  <c r="AA75" i="4" s="1"/>
  <c r="C77" i="27"/>
  <c r="C76" i="27"/>
  <c r="C78" i="27" s="1"/>
  <c r="S81" i="26"/>
  <c r="L81" i="14" s="1"/>
  <c r="X81" i="26"/>
  <c r="M81" i="14" s="1"/>
  <c r="F23" i="20"/>
  <c r="B6" i="7"/>
  <c r="B6" i="14"/>
  <c r="A6" i="21"/>
  <c r="Q81" i="5" l="1"/>
  <c r="AC23" i="26"/>
  <c r="C79" i="27"/>
  <c r="C82" i="2"/>
  <c r="D82" i="2"/>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27" i="3"/>
  <c r="K28" i="3"/>
  <c r="K29" i="3"/>
  <c r="K30" i="3"/>
  <c r="K31" i="3"/>
  <c r="K32" i="3"/>
  <c r="K26" i="3"/>
  <c r="Z9" i="2"/>
  <c r="U9" i="26" s="1"/>
  <c r="S72" i="23"/>
  <c r="T72" i="23" s="1"/>
  <c r="T81" i="5" l="1"/>
  <c r="R81" i="5"/>
  <c r="S81" i="5"/>
  <c r="N82" i="26"/>
  <c r="AD82" i="26"/>
  <c r="I82" i="26"/>
  <c r="AC82" i="26"/>
  <c r="S82" i="26"/>
  <c r="X82" i="26"/>
  <c r="B6" i="19"/>
  <c r="C1" i="16"/>
  <c r="B1" i="19" s="1"/>
  <c r="C2" i="16"/>
  <c r="B2" i="19" s="1"/>
  <c r="C3" i="16"/>
  <c r="B3" i="19" s="1"/>
  <c r="C4" i="16"/>
  <c r="B4" i="19" s="1"/>
  <c r="B1" i="14"/>
  <c r="B2" i="14"/>
  <c r="B3" i="14"/>
  <c r="B1" i="7"/>
  <c r="B2" i="7"/>
  <c r="B3" i="7"/>
  <c r="B4" i="7"/>
  <c r="B1" i="5"/>
  <c r="B2" i="5"/>
  <c r="B3" i="5"/>
  <c r="B4" i="5"/>
  <c r="E1" i="3"/>
  <c r="E1" i="4" s="1"/>
  <c r="E2" i="3"/>
  <c r="E2" i="4" s="1"/>
  <c r="E3" i="3"/>
  <c r="E3" i="4" s="1"/>
  <c r="E4" i="3"/>
  <c r="E4" i="4" s="1"/>
  <c r="B1" i="2"/>
  <c r="B2" i="2"/>
  <c r="B3" i="2"/>
  <c r="B4" i="2"/>
  <c r="A2" i="23"/>
  <c r="A3" i="23"/>
  <c r="A4" i="23"/>
  <c r="A6" i="23"/>
  <c r="A6" i="22"/>
  <c r="A3" i="22"/>
  <c r="A4" i="22"/>
  <c r="A2" i="22"/>
  <c r="A2" i="18"/>
  <c r="A3" i="18"/>
  <c r="A4" i="18"/>
  <c r="A5" i="18"/>
  <c r="A1" i="18"/>
  <c r="A1" i="17"/>
  <c r="A2" i="17"/>
  <c r="A3" i="17"/>
  <c r="A5" i="17"/>
  <c r="A4" i="17"/>
  <c r="K23" i="3"/>
  <c r="L23" i="3"/>
  <c r="M23" i="3"/>
  <c r="N23" i="3"/>
  <c r="O23" i="3"/>
  <c r="G23" i="3"/>
  <c r="H23" i="3"/>
  <c r="I23" i="3"/>
  <c r="J23" i="3"/>
  <c r="F23" i="3"/>
  <c r="L23" i="2"/>
  <c r="M23" i="2"/>
  <c r="O23" i="2"/>
  <c r="K23" i="2"/>
  <c r="I23" i="2"/>
  <c r="J23" i="2"/>
  <c r="G23" i="2"/>
  <c r="F23" i="2"/>
  <c r="T10" i="23"/>
  <c r="N10" i="23"/>
  <c r="B71" i="23"/>
  <c r="C71" i="23"/>
  <c r="N11" i="23"/>
  <c r="S9" i="7"/>
  <c r="S9" i="20"/>
  <c r="U9" i="5"/>
  <c r="Z9" i="3"/>
  <c r="A11" i="23"/>
  <c r="A11" i="22"/>
  <c r="A10" i="22"/>
  <c r="P82" i="5" l="1"/>
  <c r="P83" i="5" s="1"/>
  <c r="K82" i="5"/>
  <c r="K83" i="5" s="1"/>
  <c r="L82" i="5"/>
  <c r="L83" i="5" s="1"/>
  <c r="I82" i="5"/>
  <c r="I83" i="5" s="1"/>
  <c r="J82" i="5"/>
  <c r="J83" i="5" s="1"/>
  <c r="Q82" i="5"/>
  <c r="Q83" i="5" s="1"/>
  <c r="F82" i="5"/>
  <c r="F83" i="5" s="1"/>
  <c r="N82" i="5"/>
  <c r="N83" i="5" s="1"/>
  <c r="M82" i="5"/>
  <c r="M83" i="5" s="1"/>
  <c r="G82" i="5"/>
  <c r="G83" i="5" s="1"/>
  <c r="H82" i="5"/>
  <c r="H83" i="5" s="1"/>
  <c r="O82" i="5"/>
  <c r="O83" i="5" s="1"/>
  <c r="T82" i="5"/>
  <c r="T83" i="5" s="1"/>
  <c r="S82" i="5"/>
  <c r="S83" i="5" s="1"/>
  <c r="R82" i="5"/>
  <c r="R83" i="5" s="1"/>
  <c r="I83" i="26"/>
  <c r="J83" i="14" s="1"/>
  <c r="D20" i="21" s="1"/>
  <c r="J82" i="14"/>
  <c r="AC83" i="26"/>
  <c r="N83" i="14" s="1"/>
  <c r="D24" i="21" s="1"/>
  <c r="N82" i="14"/>
  <c r="X83" i="26"/>
  <c r="M83" i="14" s="1"/>
  <c r="D23" i="21" s="1"/>
  <c r="M82" i="14"/>
  <c r="AD83" i="26"/>
  <c r="O83" i="14" s="1"/>
  <c r="O82" i="14"/>
  <c r="S83" i="26"/>
  <c r="L83" i="14" s="1"/>
  <c r="D22" i="21" s="1"/>
  <c r="L82" i="14"/>
  <c r="K82" i="14"/>
  <c r="N83" i="26"/>
  <c r="K83" i="14" s="1"/>
  <c r="D21" i="21" s="1"/>
  <c r="A10" i="23"/>
  <c r="A10" i="27"/>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1" i="4" s="1"/>
  <c r="D70" i="2"/>
  <c r="D72" i="4" s="1"/>
  <c r="D71" i="2"/>
  <c r="D73" i="4" s="1"/>
  <c r="D72" i="2"/>
  <c r="D74" i="4" s="1"/>
  <c r="D73" i="2"/>
  <c r="D75" i="4" s="1"/>
  <c r="D74" i="2"/>
  <c r="D76" i="4" s="1"/>
  <c r="D75" i="2"/>
  <c r="D77" i="4" s="1"/>
  <c r="D76" i="2"/>
  <c r="D77" i="2"/>
  <c r="D78" i="2"/>
  <c r="D79" i="2"/>
  <c r="D80" i="2"/>
  <c r="D81" i="2"/>
  <c r="D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1" i="4" s="1"/>
  <c r="C70" i="2"/>
  <c r="C72" i="4" s="1"/>
  <c r="C71" i="2"/>
  <c r="C73" i="4" s="1"/>
  <c r="C72" i="2"/>
  <c r="C74" i="4" s="1"/>
  <c r="C73" i="2"/>
  <c r="C75" i="4" s="1"/>
  <c r="C74" i="2"/>
  <c r="C76" i="4" s="1"/>
  <c r="C75" i="2"/>
  <c r="C77" i="4" s="1"/>
  <c r="C76" i="2"/>
  <c r="C77" i="2"/>
  <c r="C78" i="2"/>
  <c r="C79" i="2"/>
  <c r="C80" i="2"/>
  <c r="C81" i="2"/>
  <c r="C26" i="2"/>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15" i="23"/>
  <c r="B15"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16" i="23"/>
  <c r="F50" i="21" l="1"/>
  <c r="N13" i="14"/>
  <c r="N14" i="14"/>
  <c r="N12" i="14"/>
  <c r="P9" i="5"/>
  <c r="F9" i="5"/>
  <c r="O8" i="5"/>
  <c r="G8" i="5"/>
  <c r="A9" i="18"/>
  <c r="A8" i="18"/>
  <c r="A9" i="17"/>
  <c r="A8" i="17"/>
  <c r="G9" i="4"/>
  <c r="Z9" i="4"/>
  <c r="U9" i="4"/>
  <c r="J9" i="4"/>
  <c r="F9" i="4"/>
  <c r="O8" i="4"/>
  <c r="K8" i="4"/>
  <c r="G8" i="4"/>
  <c r="A9" i="2"/>
  <c r="A9" i="4" s="1"/>
  <c r="A8" i="2"/>
  <c r="A8" i="3" s="1"/>
  <c r="Q67" i="14"/>
  <c r="R67" i="14"/>
  <c r="S67" i="14"/>
  <c r="T67" i="14"/>
  <c r="U67" i="14"/>
  <c r="Q68" i="14"/>
  <c r="R68" i="14"/>
  <c r="S68" i="14"/>
  <c r="T68" i="14"/>
  <c r="U68" i="14"/>
  <c r="Q69" i="14"/>
  <c r="R69" i="14"/>
  <c r="S69" i="14"/>
  <c r="T69" i="14"/>
  <c r="U69" i="14"/>
  <c r="Q70" i="14"/>
  <c r="R70" i="14"/>
  <c r="S70" i="14"/>
  <c r="T70" i="14"/>
  <c r="U70" i="14"/>
  <c r="Q71" i="14"/>
  <c r="R71" i="14"/>
  <c r="S71" i="14"/>
  <c r="T71" i="14"/>
  <c r="U71" i="14"/>
  <c r="Q72" i="14"/>
  <c r="R72" i="14"/>
  <c r="S72" i="14"/>
  <c r="T72" i="14"/>
  <c r="U72" i="14"/>
  <c r="Q73" i="14"/>
  <c r="R73" i="14"/>
  <c r="S73" i="14"/>
  <c r="T73" i="14"/>
  <c r="U73" i="14"/>
  <c r="Q74" i="14"/>
  <c r="R74" i="14"/>
  <c r="S74" i="14"/>
  <c r="T74" i="14"/>
  <c r="U74" i="14"/>
  <c r="Q75" i="14"/>
  <c r="R75" i="14"/>
  <c r="S75" i="14"/>
  <c r="T75" i="14"/>
  <c r="U75" i="14"/>
  <c r="Q76" i="14"/>
  <c r="R76" i="14"/>
  <c r="S76" i="14"/>
  <c r="T76" i="14"/>
  <c r="U76" i="14"/>
  <c r="Q77" i="14"/>
  <c r="R77" i="14"/>
  <c r="S77" i="14"/>
  <c r="T77" i="14"/>
  <c r="U77" i="14"/>
  <c r="Q78" i="14"/>
  <c r="R78" i="14"/>
  <c r="S78" i="14"/>
  <c r="T78" i="14"/>
  <c r="U78" i="14"/>
  <c r="Q79" i="14"/>
  <c r="R79" i="14"/>
  <c r="S79" i="14"/>
  <c r="T79" i="14"/>
  <c r="U79" i="14"/>
  <c r="Q80" i="14"/>
  <c r="R80" i="14"/>
  <c r="S80" i="14"/>
  <c r="T80" i="14"/>
  <c r="U80" i="14"/>
  <c r="C13" i="4"/>
  <c r="C14" i="4"/>
  <c r="C15" i="4"/>
  <c r="C16" i="4"/>
  <c r="C12" i="4"/>
  <c r="F64" i="20"/>
  <c r="P67" i="14" s="1"/>
  <c r="F65" i="20"/>
  <c r="P68" i="14" s="1"/>
  <c r="F66" i="20"/>
  <c r="P69" i="14" s="1"/>
  <c r="F67" i="20"/>
  <c r="P70" i="14" s="1"/>
  <c r="F68" i="20"/>
  <c r="P71" i="14" s="1"/>
  <c r="F69" i="20"/>
  <c r="P72" i="14" s="1"/>
  <c r="F70" i="20"/>
  <c r="P73" i="14" s="1"/>
  <c r="F71" i="20"/>
  <c r="P74" i="14" s="1"/>
  <c r="F72" i="20"/>
  <c r="P75" i="14" s="1"/>
  <c r="F73" i="20"/>
  <c r="P76" i="14" s="1"/>
  <c r="F74" i="20"/>
  <c r="P77" i="14" s="1"/>
  <c r="F75" i="20"/>
  <c r="P78" i="14" s="1"/>
  <c r="F76" i="20"/>
  <c r="P79" i="14" s="1"/>
  <c r="F77" i="20"/>
  <c r="P80" i="14" s="1"/>
  <c r="C22" i="20"/>
  <c r="D22" i="20"/>
  <c r="C23" i="20"/>
  <c r="D23" i="20"/>
  <c r="C24" i="20"/>
  <c r="D24" i="20"/>
  <c r="C25" i="20"/>
  <c r="D25" i="20"/>
  <c r="C26" i="20"/>
  <c r="D26" i="20"/>
  <c r="C27" i="20"/>
  <c r="D27" i="20"/>
  <c r="C28" i="20"/>
  <c r="D28" i="20"/>
  <c r="C29" i="20"/>
  <c r="D29" i="20"/>
  <c r="C30" i="20"/>
  <c r="D30" i="20"/>
  <c r="C31" i="20"/>
  <c r="D31" i="20"/>
  <c r="C32" i="20"/>
  <c r="D32" i="20"/>
  <c r="C33" i="20"/>
  <c r="D33" i="20"/>
  <c r="C34" i="20"/>
  <c r="D34" i="20"/>
  <c r="C35" i="20"/>
  <c r="D35" i="20"/>
  <c r="C36" i="20"/>
  <c r="D36" i="20"/>
  <c r="C37" i="20"/>
  <c r="D37" i="20"/>
  <c r="C38" i="20"/>
  <c r="D38" i="20"/>
  <c r="C39" i="20"/>
  <c r="D39" i="20"/>
  <c r="C40" i="20"/>
  <c r="D40" i="20"/>
  <c r="C41" i="20"/>
  <c r="D41" i="20"/>
  <c r="C42" i="20"/>
  <c r="D42" i="20"/>
  <c r="C43" i="20"/>
  <c r="D43" i="20"/>
  <c r="C44" i="20"/>
  <c r="D44" i="20"/>
  <c r="C45" i="20"/>
  <c r="D45" i="20"/>
  <c r="C46" i="20"/>
  <c r="D46" i="20"/>
  <c r="C47" i="20"/>
  <c r="D47" i="20"/>
  <c r="C48" i="20"/>
  <c r="D48" i="20"/>
  <c r="C49" i="20"/>
  <c r="D49" i="20"/>
  <c r="C50" i="20"/>
  <c r="D50" i="20"/>
  <c r="C51" i="20"/>
  <c r="D51" i="20"/>
  <c r="C52" i="20"/>
  <c r="D52" i="20"/>
  <c r="C53" i="20"/>
  <c r="D53" i="20"/>
  <c r="C54" i="20"/>
  <c r="D54" i="20"/>
  <c r="C55" i="20"/>
  <c r="D55" i="20"/>
  <c r="C56" i="20"/>
  <c r="D56" i="20"/>
  <c r="C57" i="20"/>
  <c r="D57" i="20"/>
  <c r="C58" i="20"/>
  <c r="D58" i="20"/>
  <c r="C59" i="20"/>
  <c r="D59" i="20"/>
  <c r="C60" i="20"/>
  <c r="D60" i="20"/>
  <c r="C61" i="20"/>
  <c r="D61" i="20"/>
  <c r="C62" i="20"/>
  <c r="D62" i="20"/>
  <c r="C63" i="20"/>
  <c r="D63" i="20"/>
  <c r="C64" i="20"/>
  <c r="D64" i="20"/>
  <c r="C65" i="20"/>
  <c r="D65" i="20"/>
  <c r="C66" i="20"/>
  <c r="D66" i="20"/>
  <c r="C67" i="20"/>
  <c r="D67" i="20"/>
  <c r="C68" i="20"/>
  <c r="D68" i="20"/>
  <c r="C69" i="20"/>
  <c r="D69" i="20"/>
  <c r="C70" i="20"/>
  <c r="D70" i="20"/>
  <c r="C71" i="20"/>
  <c r="D71" i="20"/>
  <c r="C72" i="20"/>
  <c r="D72" i="20"/>
  <c r="C73" i="20"/>
  <c r="D73" i="20"/>
  <c r="C74" i="20"/>
  <c r="D74" i="20"/>
  <c r="C75" i="20"/>
  <c r="D75" i="20"/>
  <c r="C76" i="20"/>
  <c r="D76" i="20"/>
  <c r="C77" i="20"/>
  <c r="D77" i="20"/>
  <c r="M30" i="18"/>
  <c r="N30" i="18" s="1"/>
  <c r="M26" i="18"/>
  <c r="N26" i="18" s="1"/>
  <c r="M27" i="18"/>
  <c r="N27" i="18" s="1"/>
  <c r="M28" i="18"/>
  <c r="N28" i="18" s="1"/>
  <c r="M29" i="18"/>
  <c r="N29" i="18" s="1"/>
  <c r="M25" i="18"/>
  <c r="N25" i="18" s="1"/>
  <c r="M21" i="18"/>
  <c r="N21" i="18" s="1"/>
  <c r="M22" i="18"/>
  <c r="N22" i="18" s="1"/>
  <c r="M23" i="18"/>
  <c r="N23" i="18" s="1"/>
  <c r="M24" i="18"/>
  <c r="N24" i="18" s="1"/>
  <c r="M20" i="18"/>
  <c r="N20" i="18" s="1"/>
  <c r="P25" i="4"/>
  <c r="H16" i="16"/>
  <c r="G16" i="16"/>
  <c r="F16" i="16"/>
  <c r="E16" i="16"/>
  <c r="D16" i="16"/>
  <c r="C16" i="16"/>
  <c r="B16" i="16"/>
  <c r="H15" i="16"/>
  <c r="G15" i="16"/>
  <c r="F15" i="16"/>
  <c r="E15" i="16"/>
  <c r="D15" i="16"/>
  <c r="C15" i="16"/>
  <c r="B15" i="16"/>
  <c r="H14" i="16"/>
  <c r="G14" i="16"/>
  <c r="F14" i="16"/>
  <c r="E14" i="16"/>
  <c r="D14" i="16"/>
  <c r="C14" i="16"/>
  <c r="B14" i="16"/>
  <c r="H13" i="16"/>
  <c r="G13" i="16"/>
  <c r="F13" i="16"/>
  <c r="E13" i="16"/>
  <c r="D13" i="16"/>
  <c r="C13" i="16"/>
  <c r="B13" i="16"/>
  <c r="H12" i="16"/>
  <c r="G12" i="16"/>
  <c r="F12" i="16"/>
  <c r="E12" i="16"/>
  <c r="D12" i="16"/>
  <c r="C12" i="16"/>
  <c r="B12" i="16"/>
  <c r="B16" i="21"/>
  <c r="B15" i="21"/>
  <c r="B14" i="21"/>
  <c r="B13" i="21"/>
  <c r="B12" i="21"/>
  <c r="B16" i="14"/>
  <c r="B15" i="14"/>
  <c r="B14" i="14"/>
  <c r="B13" i="14"/>
  <c r="B12" i="14"/>
  <c r="B16" i="7"/>
  <c r="B15" i="7"/>
  <c r="B14" i="7"/>
  <c r="B13" i="7"/>
  <c r="B12" i="7"/>
  <c r="B16" i="20"/>
  <c r="B15" i="20"/>
  <c r="B14" i="20"/>
  <c r="B13" i="20"/>
  <c r="B12" i="20"/>
  <c r="B16" i="5"/>
  <c r="B15" i="5"/>
  <c r="B14" i="5"/>
  <c r="B13" i="5"/>
  <c r="B12" i="5"/>
  <c r="B16" i="3"/>
  <c r="B15" i="3"/>
  <c r="B14" i="3"/>
  <c r="B13" i="3"/>
  <c r="B12" i="3"/>
  <c r="B16" i="2"/>
  <c r="B15" i="2"/>
  <c r="B14" i="2"/>
  <c r="B13" i="2"/>
  <c r="B12" i="2"/>
  <c r="B16" i="18"/>
  <c r="B15" i="18"/>
  <c r="B14" i="18"/>
  <c r="B13" i="18"/>
  <c r="B12" i="18"/>
  <c r="B14" i="17"/>
  <c r="B15" i="17"/>
  <c r="B16" i="17"/>
  <c r="B13" i="17"/>
  <c r="B12" i="17"/>
  <c r="P9" i="18"/>
  <c r="M8" i="18"/>
  <c r="B63" i="14"/>
  <c r="C63" i="14"/>
  <c r="B64" i="14"/>
  <c r="C64" i="14"/>
  <c r="B65" i="14"/>
  <c r="C65" i="14"/>
  <c r="B66" i="14"/>
  <c r="C66" i="14"/>
  <c r="B67" i="14"/>
  <c r="C67" i="14"/>
  <c r="B68" i="14"/>
  <c r="C68" i="14"/>
  <c r="B69" i="14"/>
  <c r="C69" i="14"/>
  <c r="B70" i="14"/>
  <c r="C70" i="14"/>
  <c r="B71" i="14"/>
  <c r="C71" i="14"/>
  <c r="B72" i="14"/>
  <c r="C72" i="14"/>
  <c r="B73" i="14"/>
  <c r="C73" i="14"/>
  <c r="B74" i="14"/>
  <c r="C74" i="14"/>
  <c r="B75" i="14"/>
  <c r="C75" i="14"/>
  <c r="B76" i="14"/>
  <c r="C76" i="14"/>
  <c r="B77" i="14"/>
  <c r="C77" i="14"/>
  <c r="B78" i="14"/>
  <c r="C78" i="14"/>
  <c r="B79" i="14"/>
  <c r="C79" i="14"/>
  <c r="B80" i="14"/>
  <c r="C80" i="14"/>
  <c r="C60" i="7"/>
  <c r="D60" i="7"/>
  <c r="C62" i="7"/>
  <c r="D62" i="7"/>
  <c r="C63" i="7"/>
  <c r="D63" i="7"/>
  <c r="C64" i="7"/>
  <c r="D64" i="7"/>
  <c r="C65" i="7"/>
  <c r="D65" i="7"/>
  <c r="C66" i="7"/>
  <c r="D66" i="7"/>
  <c r="C67" i="7"/>
  <c r="D67" i="7"/>
  <c r="C68" i="7"/>
  <c r="D68" i="7"/>
  <c r="C69" i="7"/>
  <c r="D69" i="7"/>
  <c r="C70" i="7"/>
  <c r="D70" i="7"/>
  <c r="C71" i="7"/>
  <c r="D71" i="7"/>
  <c r="C72" i="7"/>
  <c r="D72" i="7"/>
  <c r="C73" i="7"/>
  <c r="D73" i="7"/>
  <c r="C74" i="7"/>
  <c r="D74" i="7"/>
  <c r="C75" i="7"/>
  <c r="D75" i="7"/>
  <c r="C76" i="7"/>
  <c r="D76" i="7"/>
  <c r="C77" i="7"/>
  <c r="D77" i="7"/>
  <c r="B67" i="26"/>
  <c r="C67" i="26"/>
  <c r="B68" i="26"/>
  <c r="C68" i="26"/>
  <c r="B69" i="26"/>
  <c r="C69" i="26"/>
  <c r="B70" i="26"/>
  <c r="C70" i="26"/>
  <c r="B71" i="26"/>
  <c r="C71" i="26"/>
  <c r="B72" i="26"/>
  <c r="C72" i="26"/>
  <c r="B73" i="26"/>
  <c r="C73" i="26"/>
  <c r="B74" i="26"/>
  <c r="C74" i="26"/>
  <c r="B75" i="26"/>
  <c r="C75" i="26"/>
  <c r="B76" i="26"/>
  <c r="C76" i="26"/>
  <c r="B77" i="26"/>
  <c r="C77" i="26"/>
  <c r="B78" i="26"/>
  <c r="C78" i="26"/>
  <c r="B79" i="26"/>
  <c r="C79" i="26"/>
  <c r="B80" i="26"/>
  <c r="C80" i="26"/>
  <c r="R26" i="4"/>
  <c r="P27" i="4"/>
  <c r="R27" i="4"/>
  <c r="T27" i="4"/>
  <c r="V27" i="4"/>
  <c r="P28" i="4"/>
  <c r="R28" i="4"/>
  <c r="T28" i="4"/>
  <c r="V28" i="4"/>
  <c r="P29" i="4"/>
  <c r="R29" i="4"/>
  <c r="T29" i="4"/>
  <c r="V29" i="4"/>
  <c r="P30" i="4"/>
  <c r="R30" i="4"/>
  <c r="T30" i="4"/>
  <c r="V30" i="4"/>
  <c r="P31" i="4"/>
  <c r="R31" i="4"/>
  <c r="T31" i="4"/>
  <c r="V31" i="4"/>
  <c r="P32" i="4"/>
  <c r="R32" i="4"/>
  <c r="T32" i="4"/>
  <c r="V32" i="4"/>
  <c r="P33" i="4"/>
  <c r="R33" i="4"/>
  <c r="T33" i="4"/>
  <c r="V33" i="4"/>
  <c r="P34" i="4"/>
  <c r="R34" i="4"/>
  <c r="T34" i="4"/>
  <c r="V34" i="4"/>
  <c r="P35" i="4"/>
  <c r="R35" i="4"/>
  <c r="T35" i="4"/>
  <c r="V35" i="4"/>
  <c r="P36" i="4"/>
  <c r="R36" i="4"/>
  <c r="T36" i="4"/>
  <c r="V36" i="4"/>
  <c r="P37" i="4"/>
  <c r="R37" i="4"/>
  <c r="T37" i="4"/>
  <c r="V37" i="4"/>
  <c r="P38" i="4"/>
  <c r="R38" i="4"/>
  <c r="T38" i="4"/>
  <c r="V38" i="4"/>
  <c r="P39" i="4"/>
  <c r="R39" i="4"/>
  <c r="T39" i="4"/>
  <c r="V39" i="4"/>
  <c r="P40" i="4"/>
  <c r="R40" i="4"/>
  <c r="T40" i="4"/>
  <c r="V40" i="4"/>
  <c r="P41" i="4"/>
  <c r="R41" i="4"/>
  <c r="T41" i="4"/>
  <c r="V41" i="4"/>
  <c r="P42" i="4"/>
  <c r="R42" i="4"/>
  <c r="T42" i="4"/>
  <c r="V42" i="4"/>
  <c r="P43" i="4"/>
  <c r="R43" i="4"/>
  <c r="T43" i="4"/>
  <c r="V43" i="4"/>
  <c r="P44" i="4"/>
  <c r="R44" i="4"/>
  <c r="T44" i="4"/>
  <c r="V44" i="4"/>
  <c r="P45" i="4"/>
  <c r="R45" i="4"/>
  <c r="T45" i="4"/>
  <c r="V45" i="4"/>
  <c r="P46" i="4"/>
  <c r="R46" i="4"/>
  <c r="T46" i="4"/>
  <c r="V46" i="4"/>
  <c r="P47" i="4"/>
  <c r="R47" i="4"/>
  <c r="T47" i="4"/>
  <c r="V47" i="4"/>
  <c r="P48" i="4"/>
  <c r="R48" i="4"/>
  <c r="T48" i="4"/>
  <c r="V48" i="4"/>
  <c r="P49" i="4"/>
  <c r="R49" i="4"/>
  <c r="T49" i="4"/>
  <c r="V49" i="4"/>
  <c r="P50" i="4"/>
  <c r="R50" i="4"/>
  <c r="T50" i="4"/>
  <c r="V50" i="4"/>
  <c r="P51" i="4"/>
  <c r="R51" i="4"/>
  <c r="T51" i="4"/>
  <c r="V51" i="4"/>
  <c r="P52" i="4"/>
  <c r="R52" i="4"/>
  <c r="T52" i="4"/>
  <c r="V52" i="4"/>
  <c r="P53" i="4"/>
  <c r="R53" i="4"/>
  <c r="T53" i="4"/>
  <c r="V53" i="4"/>
  <c r="P54" i="4"/>
  <c r="R54" i="4"/>
  <c r="T54" i="4"/>
  <c r="V54" i="4"/>
  <c r="P55" i="4"/>
  <c r="R55" i="4"/>
  <c r="T55" i="4"/>
  <c r="V55" i="4"/>
  <c r="P56" i="4"/>
  <c r="R56" i="4"/>
  <c r="T56" i="4"/>
  <c r="V56" i="4"/>
  <c r="P57" i="4"/>
  <c r="R57" i="4"/>
  <c r="T57" i="4"/>
  <c r="V57" i="4"/>
  <c r="P58" i="4"/>
  <c r="R58" i="4"/>
  <c r="T58" i="4"/>
  <c r="V58" i="4"/>
  <c r="P59" i="4"/>
  <c r="R59" i="4"/>
  <c r="T59" i="4"/>
  <c r="V59" i="4"/>
  <c r="P60" i="4"/>
  <c r="R60" i="4"/>
  <c r="T60" i="4"/>
  <c r="V60" i="4"/>
  <c r="P61" i="4"/>
  <c r="R61" i="4"/>
  <c r="T61" i="4"/>
  <c r="V61" i="4"/>
  <c r="P62" i="4"/>
  <c r="R62" i="4"/>
  <c r="T62" i="4"/>
  <c r="V62" i="4"/>
  <c r="P63" i="4"/>
  <c r="R63" i="4"/>
  <c r="T63" i="4"/>
  <c r="V63" i="4"/>
  <c r="P64" i="4"/>
  <c r="R64" i="4"/>
  <c r="T64" i="4"/>
  <c r="V64" i="4"/>
  <c r="P65" i="4"/>
  <c r="R65" i="4"/>
  <c r="T65" i="4"/>
  <c r="V65" i="4"/>
  <c r="P66" i="4"/>
  <c r="R66" i="4"/>
  <c r="T66" i="4"/>
  <c r="V66" i="4"/>
  <c r="P67" i="4"/>
  <c r="R67" i="4"/>
  <c r="T67" i="4"/>
  <c r="V67" i="4"/>
  <c r="P68" i="4"/>
  <c r="R68" i="4"/>
  <c r="T68" i="4"/>
  <c r="V68" i="4"/>
  <c r="P69" i="4"/>
  <c r="R69" i="4"/>
  <c r="T69" i="4"/>
  <c r="V69" i="4"/>
  <c r="P70" i="4"/>
  <c r="R70" i="4"/>
  <c r="T70" i="4"/>
  <c r="V70" i="4"/>
  <c r="P78" i="4"/>
  <c r="R78" i="4"/>
  <c r="T78" i="4"/>
  <c r="V78" i="4"/>
  <c r="P79" i="4"/>
  <c r="R79" i="4"/>
  <c r="T79" i="4"/>
  <c r="V79" i="4"/>
  <c r="P80" i="4"/>
  <c r="R80" i="4"/>
  <c r="T80" i="4"/>
  <c r="V80" i="4"/>
  <c r="P81" i="4"/>
  <c r="R81" i="4"/>
  <c r="T81" i="4"/>
  <c r="V81" i="4"/>
  <c r="P82" i="4"/>
  <c r="R82" i="4"/>
  <c r="T82" i="4"/>
  <c r="V82" i="4"/>
  <c r="P83" i="4"/>
  <c r="R83" i="4"/>
  <c r="T83" i="4"/>
  <c r="V83" i="4"/>
  <c r="P84" i="4"/>
  <c r="R84" i="4"/>
  <c r="T84" i="4"/>
  <c r="V84" i="4"/>
  <c r="P27" i="3"/>
  <c r="R27" i="3"/>
  <c r="P28" i="3"/>
  <c r="R28" i="3"/>
  <c r="P29" i="3"/>
  <c r="R29" i="3"/>
  <c r="P30" i="3"/>
  <c r="R30" i="3"/>
  <c r="P31" i="3"/>
  <c r="R31" i="3"/>
  <c r="P32" i="3"/>
  <c r="R32" i="3"/>
  <c r="P33" i="3"/>
  <c r="R33" i="3"/>
  <c r="P34" i="3"/>
  <c r="R34" i="3"/>
  <c r="P35" i="3"/>
  <c r="R35" i="3"/>
  <c r="P36" i="3"/>
  <c r="R36" i="3"/>
  <c r="P37" i="3"/>
  <c r="R37" i="3"/>
  <c r="P38" i="3"/>
  <c r="R38" i="3"/>
  <c r="P39" i="3"/>
  <c r="R39" i="3"/>
  <c r="P40" i="3"/>
  <c r="R40" i="3"/>
  <c r="P41" i="3"/>
  <c r="R41" i="3"/>
  <c r="P42" i="3"/>
  <c r="R42" i="3"/>
  <c r="P43" i="3"/>
  <c r="R43" i="3"/>
  <c r="P44" i="3"/>
  <c r="R44" i="3"/>
  <c r="P45" i="3"/>
  <c r="R45" i="3"/>
  <c r="P46" i="3"/>
  <c r="R46" i="3"/>
  <c r="P47" i="3"/>
  <c r="R47" i="3"/>
  <c r="P48" i="3"/>
  <c r="R48" i="3"/>
  <c r="P49" i="3"/>
  <c r="R49" i="3"/>
  <c r="P50" i="3"/>
  <c r="R50" i="3"/>
  <c r="P51" i="3"/>
  <c r="R51" i="3"/>
  <c r="P52" i="3"/>
  <c r="R52" i="3"/>
  <c r="P53" i="3"/>
  <c r="R53" i="3"/>
  <c r="P54" i="3"/>
  <c r="R54" i="3"/>
  <c r="P55" i="3"/>
  <c r="R55" i="3"/>
  <c r="P56" i="3"/>
  <c r="R56" i="3"/>
  <c r="P57" i="3"/>
  <c r="R57" i="3"/>
  <c r="P58" i="3"/>
  <c r="R58" i="3"/>
  <c r="P59" i="3"/>
  <c r="R59" i="3"/>
  <c r="P60" i="3"/>
  <c r="R60" i="3"/>
  <c r="P61" i="3"/>
  <c r="R61" i="3"/>
  <c r="P62" i="3"/>
  <c r="R62" i="3"/>
  <c r="P63" i="3"/>
  <c r="R63" i="3"/>
  <c r="P64" i="3"/>
  <c r="R64" i="3"/>
  <c r="P65" i="3"/>
  <c r="R65" i="3"/>
  <c r="P66" i="3"/>
  <c r="R66" i="3"/>
  <c r="P67" i="3"/>
  <c r="R67" i="3"/>
  <c r="P68" i="3"/>
  <c r="R68" i="3"/>
  <c r="P69" i="3"/>
  <c r="R69" i="3"/>
  <c r="P70" i="3"/>
  <c r="R70" i="3"/>
  <c r="P71" i="3"/>
  <c r="R71" i="3"/>
  <c r="P72" i="3"/>
  <c r="R72" i="3"/>
  <c r="P73" i="3"/>
  <c r="R73" i="3"/>
  <c r="P74" i="3"/>
  <c r="R74" i="3"/>
  <c r="P75" i="3"/>
  <c r="R75" i="3"/>
  <c r="P76" i="3"/>
  <c r="R76" i="3"/>
  <c r="P77" i="3"/>
  <c r="R77" i="3"/>
  <c r="P78" i="3"/>
  <c r="R78" i="3"/>
  <c r="P79" i="3"/>
  <c r="R79" i="3"/>
  <c r="P80" i="3"/>
  <c r="R80" i="3"/>
  <c r="P81" i="3"/>
  <c r="R81" i="3"/>
  <c r="P82" i="3"/>
  <c r="R82" i="3"/>
  <c r="V27" i="2"/>
  <c r="X27" i="2"/>
  <c r="V28" i="2"/>
  <c r="X28" i="2"/>
  <c r="V29" i="2"/>
  <c r="X29" i="2"/>
  <c r="V30" i="2"/>
  <c r="X30" i="2"/>
  <c r="V31" i="2"/>
  <c r="X31" i="2"/>
  <c r="V32" i="2"/>
  <c r="X32" i="2"/>
  <c r="V33" i="2"/>
  <c r="X33" i="2"/>
  <c r="V34" i="2"/>
  <c r="X34" i="2"/>
  <c r="V35" i="2"/>
  <c r="X35" i="2"/>
  <c r="V36" i="2"/>
  <c r="X36" i="2"/>
  <c r="V37" i="2"/>
  <c r="X37" i="2"/>
  <c r="V38" i="2"/>
  <c r="X38" i="2"/>
  <c r="V39" i="2"/>
  <c r="X39" i="2"/>
  <c r="V40" i="2"/>
  <c r="X40" i="2"/>
  <c r="V41" i="2"/>
  <c r="X41" i="2"/>
  <c r="V42" i="2"/>
  <c r="X42" i="2"/>
  <c r="V43" i="2"/>
  <c r="X43" i="2"/>
  <c r="V44" i="2"/>
  <c r="X44" i="2"/>
  <c r="V45" i="2"/>
  <c r="X45" i="2"/>
  <c r="V46" i="2"/>
  <c r="X46" i="2"/>
  <c r="V47" i="2"/>
  <c r="X47" i="2"/>
  <c r="V48" i="2"/>
  <c r="X48" i="2"/>
  <c r="V49" i="2"/>
  <c r="X49" i="2"/>
  <c r="V50" i="2"/>
  <c r="X50" i="2"/>
  <c r="V51" i="2"/>
  <c r="X51" i="2"/>
  <c r="V52" i="2"/>
  <c r="X52" i="2"/>
  <c r="V53" i="2"/>
  <c r="X53" i="2"/>
  <c r="V54" i="2"/>
  <c r="X54" i="2"/>
  <c r="V55" i="2"/>
  <c r="X55" i="2"/>
  <c r="V56" i="2"/>
  <c r="X56" i="2"/>
  <c r="V57" i="2"/>
  <c r="X57" i="2"/>
  <c r="V58" i="2"/>
  <c r="X58" i="2"/>
  <c r="V59" i="2"/>
  <c r="X59" i="2"/>
  <c r="V60" i="2"/>
  <c r="X60" i="2"/>
  <c r="V61" i="2"/>
  <c r="X61" i="2"/>
  <c r="V62" i="2"/>
  <c r="X62" i="2"/>
  <c r="V63" i="2"/>
  <c r="X63" i="2"/>
  <c r="V64" i="2"/>
  <c r="X64" i="2"/>
  <c r="V65" i="2"/>
  <c r="X65" i="2"/>
  <c r="V66" i="2"/>
  <c r="X66" i="2"/>
  <c r="V67" i="2"/>
  <c r="X67" i="2"/>
  <c r="V68" i="2"/>
  <c r="X68" i="2"/>
  <c r="V69" i="2"/>
  <c r="X69" i="2"/>
  <c r="V70" i="2"/>
  <c r="X70" i="2"/>
  <c r="V71" i="2"/>
  <c r="X71" i="2"/>
  <c r="V72" i="2"/>
  <c r="X72" i="2"/>
  <c r="V73" i="2"/>
  <c r="X73" i="2"/>
  <c r="V74" i="2"/>
  <c r="X74" i="2"/>
  <c r="V75" i="2"/>
  <c r="X75" i="2"/>
  <c r="V76" i="2"/>
  <c r="X76" i="2"/>
  <c r="V77" i="2"/>
  <c r="X77" i="2"/>
  <c r="V78" i="2"/>
  <c r="X78" i="2"/>
  <c r="V79" i="2"/>
  <c r="X79" i="2"/>
  <c r="V80" i="2"/>
  <c r="X80" i="2"/>
  <c r="V81" i="2"/>
  <c r="X81" i="2"/>
  <c r="V82" i="2"/>
  <c r="X82" i="2"/>
  <c r="V26" i="4"/>
  <c r="T26" i="4"/>
  <c r="P26" i="4"/>
  <c r="X25" i="4"/>
  <c r="V25" i="4"/>
  <c r="T25" i="4"/>
  <c r="R25" i="4"/>
  <c r="S71" i="4" l="1"/>
  <c r="S72" i="4"/>
  <c r="S77" i="4"/>
  <c r="S73" i="4"/>
  <c r="S75" i="4"/>
  <c r="S76" i="4"/>
  <c r="S74" i="4"/>
  <c r="W72" i="4"/>
  <c r="W71" i="4"/>
  <c r="W77" i="4"/>
  <c r="W74" i="4"/>
  <c r="W76" i="4"/>
  <c r="W75" i="4"/>
  <c r="W73" i="4"/>
  <c r="Q73" i="4"/>
  <c r="Q72" i="4"/>
  <c r="Q75" i="4"/>
  <c r="Q74" i="4"/>
  <c r="Q77" i="4"/>
  <c r="Q76" i="4"/>
  <c r="Q71" i="4"/>
  <c r="U73" i="4"/>
  <c r="U71" i="4"/>
  <c r="U77" i="4"/>
  <c r="U76" i="4"/>
  <c r="U74" i="4"/>
  <c r="U75" i="4"/>
  <c r="U72" i="4"/>
  <c r="Y71" i="4"/>
  <c r="Y77" i="4"/>
  <c r="Y73" i="4"/>
  <c r="Y72" i="4"/>
  <c r="Y76" i="4"/>
  <c r="Y75" i="4"/>
  <c r="Y74" i="4"/>
  <c r="Q26" i="4"/>
  <c r="Q82" i="4"/>
  <c r="Q60" i="4"/>
  <c r="Q48" i="4"/>
  <c r="Q36" i="4"/>
  <c r="Q84" i="4"/>
  <c r="Q78" i="4"/>
  <c r="Q56" i="4"/>
  <c r="Q44" i="4"/>
  <c r="Q32" i="4"/>
  <c r="Q80" i="4"/>
  <c r="Q67" i="4"/>
  <c r="Q64" i="4"/>
  <c r="Q52" i="4"/>
  <c r="Q40" i="4"/>
  <c r="Q28" i="4"/>
  <c r="S26" i="4"/>
  <c r="S84" i="4"/>
  <c r="S83" i="4"/>
  <c r="S82" i="4"/>
  <c r="S81" i="4"/>
  <c r="S80" i="4"/>
  <c r="S79" i="4"/>
  <c r="S78" i="4"/>
  <c r="S70" i="4"/>
  <c r="S69" i="4"/>
  <c r="S68" i="4"/>
  <c r="S67" i="4"/>
  <c r="S66" i="4"/>
  <c r="S65" i="4"/>
  <c r="S64" i="4"/>
  <c r="S63" i="4"/>
  <c r="S62" i="4"/>
  <c r="S61" i="4"/>
  <c r="S60" i="4"/>
  <c r="S59" i="4"/>
  <c r="S58" i="4"/>
  <c r="S57" i="4"/>
  <c r="S56" i="4"/>
  <c r="S55" i="4"/>
  <c r="S54" i="4"/>
  <c r="S53" i="4"/>
  <c r="S52" i="4"/>
  <c r="S51" i="4"/>
  <c r="S50" i="4"/>
  <c r="S49" i="4"/>
  <c r="S48" i="4"/>
  <c r="S47" i="4"/>
  <c r="S46" i="4"/>
  <c r="S45" i="4"/>
  <c r="S44" i="4"/>
  <c r="S43" i="4"/>
  <c r="S42" i="4"/>
  <c r="S41" i="4"/>
  <c r="S40" i="4"/>
  <c r="S39" i="4"/>
  <c r="S38" i="4"/>
  <c r="S37" i="4"/>
  <c r="S36" i="4"/>
  <c r="S35" i="4"/>
  <c r="S34" i="4"/>
  <c r="S33" i="4"/>
  <c r="S32" i="4"/>
  <c r="S31" i="4"/>
  <c r="S30" i="4"/>
  <c r="S29" i="4"/>
  <c r="S28" i="4"/>
  <c r="S27" i="4"/>
  <c r="U26" i="4"/>
  <c r="W26" i="4"/>
  <c r="X39" i="4"/>
  <c r="Y39" i="4" s="1"/>
  <c r="X35" i="4"/>
  <c r="Y35" i="4" s="1"/>
  <c r="X33" i="4"/>
  <c r="Y33" i="4" s="1"/>
  <c r="X29" i="4"/>
  <c r="Y29" i="4" s="1"/>
  <c r="X27" i="4"/>
  <c r="Y27" i="4" s="1"/>
  <c r="X84" i="4"/>
  <c r="Y84" i="4" s="1"/>
  <c r="X82" i="4"/>
  <c r="Y82" i="4" s="1"/>
  <c r="X80" i="4"/>
  <c r="Y80" i="4" s="1"/>
  <c r="X78" i="4"/>
  <c r="Y78" i="4" s="1"/>
  <c r="X69" i="4"/>
  <c r="Y69" i="4" s="1"/>
  <c r="X67" i="4"/>
  <c r="Y67" i="4" s="1"/>
  <c r="X65" i="4"/>
  <c r="Y65" i="4" s="1"/>
  <c r="X64" i="4"/>
  <c r="Y64" i="4" s="1"/>
  <c r="X62" i="4"/>
  <c r="Y62" i="4" s="1"/>
  <c r="X60" i="4"/>
  <c r="Y60" i="4" s="1"/>
  <c r="X58" i="4"/>
  <c r="Y58" i="4" s="1"/>
  <c r="X56" i="4"/>
  <c r="Y56" i="4" s="1"/>
  <c r="X54" i="4"/>
  <c r="Y54" i="4" s="1"/>
  <c r="X52" i="4"/>
  <c r="Y52" i="4" s="1"/>
  <c r="X50" i="4"/>
  <c r="Y50" i="4" s="1"/>
  <c r="X48" i="4"/>
  <c r="Y48" i="4" s="1"/>
  <c r="X46" i="4"/>
  <c r="Y46" i="4" s="1"/>
  <c r="X44" i="4"/>
  <c r="Y44" i="4" s="1"/>
  <c r="X42" i="4"/>
  <c r="Y42" i="4" s="1"/>
  <c r="X41" i="4"/>
  <c r="Y41" i="4" s="1"/>
  <c r="X37" i="4"/>
  <c r="Y37" i="4" s="1"/>
  <c r="X31" i="4"/>
  <c r="Y31" i="4" s="1"/>
  <c r="W84" i="4"/>
  <c r="W83" i="4"/>
  <c r="W82" i="4"/>
  <c r="W81" i="4"/>
  <c r="W80" i="4"/>
  <c r="W79" i="4"/>
  <c r="W78" i="4"/>
  <c r="W70" i="4"/>
  <c r="W69" i="4"/>
  <c r="W68" i="4"/>
  <c r="W67" i="4"/>
  <c r="W66" i="4"/>
  <c r="W65" i="4"/>
  <c r="W64" i="4"/>
  <c r="X26" i="4"/>
  <c r="Y26" i="4" s="1"/>
  <c r="X40" i="4"/>
  <c r="Y40" i="4" s="1"/>
  <c r="X38" i="4"/>
  <c r="Y38" i="4" s="1"/>
  <c r="X36" i="4"/>
  <c r="Y36" i="4" s="1"/>
  <c r="X34" i="4"/>
  <c r="Y34" i="4" s="1"/>
  <c r="X32" i="4"/>
  <c r="Y32" i="4" s="1"/>
  <c r="X30" i="4"/>
  <c r="Y30" i="4" s="1"/>
  <c r="X28" i="4"/>
  <c r="Y28" i="4" s="1"/>
  <c r="X83" i="4"/>
  <c r="Y83" i="4" s="1"/>
  <c r="X81" i="4"/>
  <c r="Y81" i="4" s="1"/>
  <c r="X79" i="4"/>
  <c r="Y79" i="4" s="1"/>
  <c r="X70" i="4"/>
  <c r="Y70" i="4" s="1"/>
  <c r="X68" i="4"/>
  <c r="Y68" i="4" s="1"/>
  <c r="X66" i="4"/>
  <c r="Y66" i="4" s="1"/>
  <c r="X63" i="4"/>
  <c r="Y63" i="4" s="1"/>
  <c r="X61" i="4"/>
  <c r="Y61" i="4" s="1"/>
  <c r="X59" i="4"/>
  <c r="Y59" i="4" s="1"/>
  <c r="X57" i="4"/>
  <c r="Y57" i="4" s="1"/>
  <c r="X55" i="4"/>
  <c r="Y55" i="4" s="1"/>
  <c r="X53" i="4"/>
  <c r="Y53" i="4" s="1"/>
  <c r="X51" i="4"/>
  <c r="Y51" i="4" s="1"/>
  <c r="X49" i="4"/>
  <c r="Y49" i="4" s="1"/>
  <c r="X47" i="4"/>
  <c r="Y47" i="4" s="1"/>
  <c r="X45" i="4"/>
  <c r="Y45" i="4" s="1"/>
  <c r="X43" i="4"/>
  <c r="Y43" i="4" s="1"/>
  <c r="U84" i="4"/>
  <c r="U83" i="4"/>
  <c r="U82" i="4"/>
  <c r="U81" i="4"/>
  <c r="U80" i="4"/>
  <c r="U79" i="4"/>
  <c r="U78" i="4"/>
  <c r="U70" i="4"/>
  <c r="U69" i="4"/>
  <c r="U68" i="4"/>
  <c r="U67" i="4"/>
  <c r="U66" i="4"/>
  <c r="U65" i="4"/>
  <c r="U64" i="4"/>
  <c r="U63" i="4"/>
  <c r="U62"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L18" i="16"/>
  <c r="M18" i="16"/>
  <c r="U18" i="16"/>
  <c r="Q18" i="16"/>
  <c r="Z18" i="16"/>
  <c r="V18" i="16"/>
  <c r="R18" i="16"/>
  <c r="O18" i="16"/>
  <c r="Y18" i="16"/>
  <c r="T18" i="16"/>
  <c r="P18" i="16"/>
  <c r="W63" i="4"/>
  <c r="W62" i="4"/>
  <c r="W61" i="4"/>
  <c r="W60" i="4"/>
  <c r="W59" i="4"/>
  <c r="W58" i="4"/>
  <c r="W57" i="4"/>
  <c r="W56" i="4"/>
  <c r="W55" i="4"/>
  <c r="W54" i="4"/>
  <c r="W53" i="4"/>
  <c r="W52" i="4"/>
  <c r="W51" i="4"/>
  <c r="W50" i="4"/>
  <c r="W49" i="4"/>
  <c r="W48" i="4"/>
  <c r="W47" i="4"/>
  <c r="W46" i="4"/>
  <c r="W45" i="4"/>
  <c r="W44" i="4"/>
  <c r="W43" i="4"/>
  <c r="W42" i="4"/>
  <c r="W41" i="4"/>
  <c r="W40" i="4"/>
  <c r="W39" i="4"/>
  <c r="W38" i="4"/>
  <c r="W37" i="4"/>
  <c r="W36" i="4"/>
  <c r="W35" i="4"/>
  <c r="W34" i="4"/>
  <c r="W33" i="4"/>
  <c r="W32" i="4"/>
  <c r="W31" i="4"/>
  <c r="W30" i="4"/>
  <c r="W29" i="4"/>
  <c r="W28" i="4"/>
  <c r="W27" i="4"/>
  <c r="S18" i="16"/>
  <c r="A9" i="3"/>
  <c r="N18" i="16"/>
  <c r="X18" i="16"/>
  <c r="W18" i="16"/>
  <c r="A8" i="4"/>
  <c r="Q83" i="4"/>
  <c r="Q79" i="4"/>
  <c r="Q68" i="4"/>
  <c r="Q61" i="4"/>
  <c r="Q57" i="4"/>
  <c r="Q53" i="4"/>
  <c r="Q49" i="4"/>
  <c r="Q45" i="4"/>
  <c r="Q41" i="4"/>
  <c r="Q37" i="4"/>
  <c r="Q33" i="4"/>
  <c r="Q29" i="4"/>
  <c r="Q69" i="4"/>
  <c r="Q65" i="4"/>
  <c r="Q62" i="4"/>
  <c r="Q58" i="4"/>
  <c r="Q54" i="4"/>
  <c r="Q50" i="4"/>
  <c r="Q46" i="4"/>
  <c r="Q42" i="4"/>
  <c r="Q38" i="4"/>
  <c r="Q34" i="4"/>
  <c r="Q30" i="4"/>
  <c r="Q81" i="4"/>
  <c r="Q70" i="4"/>
  <c r="Q66" i="4"/>
  <c r="Q63" i="4"/>
  <c r="Q59" i="4"/>
  <c r="Q55" i="4"/>
  <c r="Q51" i="4"/>
  <c r="Q47" i="4"/>
  <c r="Q43" i="4"/>
  <c r="Q39" i="4"/>
  <c r="Q35" i="4"/>
  <c r="Q31" i="4"/>
  <c r="Q27" i="4"/>
  <c r="Z80" i="4" l="1"/>
  <c r="Z51" i="4"/>
  <c r="Z42" i="4"/>
  <c r="Z70" i="4"/>
  <c r="Z65" i="4"/>
  <c r="Z34" i="4"/>
  <c r="Z62" i="4"/>
  <c r="Z39" i="4"/>
  <c r="Z26" i="4"/>
  <c r="Z64" i="4"/>
  <c r="Z58" i="4"/>
  <c r="Z48" i="4"/>
  <c r="Z40" i="4"/>
  <c r="Z68" i="4"/>
  <c r="Z78" i="4"/>
  <c r="Z41" i="4"/>
  <c r="Z45" i="4"/>
  <c r="Z50" i="4"/>
  <c r="Z33" i="4"/>
  <c r="Z29" i="4"/>
  <c r="Z28" i="4"/>
  <c r="Z32" i="4"/>
  <c r="Z55" i="4"/>
  <c r="Z61" i="4"/>
  <c r="Z63" i="4"/>
  <c r="Z47" i="4"/>
  <c r="Z56" i="4"/>
  <c r="Z83" i="4"/>
  <c r="S85" i="4"/>
  <c r="Z53" i="4"/>
  <c r="Z27" i="4"/>
  <c r="Z57" i="4"/>
  <c r="Z79" i="4"/>
  <c r="Z60" i="4"/>
  <c r="Z38" i="4"/>
  <c r="Z46" i="4"/>
  <c r="Z66" i="4"/>
  <c r="Z81" i="4"/>
  <c r="Z82" i="4"/>
  <c r="Z44" i="4"/>
  <c r="Z36" i="4"/>
  <c r="Z52" i="4"/>
  <c r="Z67" i="4"/>
  <c r="U85" i="4"/>
  <c r="Z30" i="4"/>
  <c r="Z35" i="4"/>
  <c r="Z49" i="4"/>
  <c r="Z54" i="4"/>
  <c r="Z59" i="4"/>
  <c r="Z69" i="4"/>
  <c r="Z43" i="4"/>
  <c r="W85" i="4"/>
  <c r="Z84" i="4"/>
  <c r="Y85" i="4"/>
  <c r="Z31" i="4"/>
  <c r="Z37" i="4"/>
  <c r="Q85" i="4"/>
  <c r="F24" i="4"/>
  <c r="O24" i="4"/>
  <c r="N24" i="4"/>
  <c r="M24" i="4"/>
  <c r="L24" i="4"/>
  <c r="K24" i="4"/>
  <c r="J24" i="4"/>
  <c r="I24" i="4"/>
  <c r="H24" i="4"/>
  <c r="G24" i="4"/>
  <c r="O24" i="3"/>
  <c r="N24" i="3"/>
  <c r="M24" i="3"/>
  <c r="L24" i="3"/>
  <c r="K24" i="3"/>
  <c r="J24" i="3"/>
  <c r="I24" i="3"/>
  <c r="H24" i="3"/>
  <c r="G24" i="3"/>
  <c r="F24" i="3"/>
  <c r="G24" i="2"/>
  <c r="H24" i="2"/>
  <c r="I24" i="2"/>
  <c r="J24" i="2"/>
  <c r="K24" i="2"/>
  <c r="L24" i="2"/>
  <c r="M24" i="2"/>
  <c r="N24" i="2"/>
  <c r="O24" i="2"/>
  <c r="F24" i="2"/>
  <c r="X26" i="2"/>
  <c r="V26" i="2"/>
  <c r="X25" i="2"/>
  <c r="V25" i="2"/>
  <c r="T25" i="2"/>
  <c r="R25" i="2"/>
  <c r="P25" i="2"/>
  <c r="A16" i="2"/>
  <c r="A15" i="2"/>
  <c r="A14" i="2"/>
  <c r="A13" i="2"/>
  <c r="A12" i="2"/>
  <c r="J9" i="2"/>
  <c r="F9" i="2"/>
  <c r="O8" i="2"/>
  <c r="K8" i="2"/>
  <c r="G8" i="2"/>
  <c r="P26" i="3"/>
  <c r="X25" i="3"/>
  <c r="V25" i="3"/>
  <c r="P25" i="3"/>
  <c r="F82" i="3"/>
  <c r="G82" i="3"/>
  <c r="H82" i="3"/>
  <c r="I82" i="3"/>
  <c r="J82" i="3"/>
  <c r="L82" i="3"/>
  <c r="M82" i="3"/>
  <c r="N82" i="3"/>
  <c r="O82" i="3"/>
  <c r="F41" i="3"/>
  <c r="G41" i="3"/>
  <c r="H41" i="3"/>
  <c r="I41" i="3"/>
  <c r="J41" i="3"/>
  <c r="L41" i="3"/>
  <c r="M41" i="3"/>
  <c r="N41" i="3"/>
  <c r="O41" i="3"/>
  <c r="F42" i="3"/>
  <c r="G42" i="3"/>
  <c r="H42" i="3"/>
  <c r="I42" i="3"/>
  <c r="J42" i="3"/>
  <c r="L42" i="3"/>
  <c r="M42" i="3"/>
  <c r="N42" i="3"/>
  <c r="O42" i="3"/>
  <c r="F43" i="3"/>
  <c r="G43" i="3"/>
  <c r="H43" i="3"/>
  <c r="I43" i="3"/>
  <c r="J43" i="3"/>
  <c r="L43" i="3"/>
  <c r="M43" i="3"/>
  <c r="N43" i="3"/>
  <c r="O43" i="3"/>
  <c r="F44" i="3"/>
  <c r="G44" i="3"/>
  <c r="H44" i="3"/>
  <c r="I44" i="3"/>
  <c r="J44" i="3"/>
  <c r="L44" i="3"/>
  <c r="M44" i="3"/>
  <c r="N44" i="3"/>
  <c r="O44" i="3"/>
  <c r="F45" i="3"/>
  <c r="G45" i="3"/>
  <c r="H45" i="3"/>
  <c r="I45" i="3"/>
  <c r="J45" i="3"/>
  <c r="L45" i="3"/>
  <c r="M45" i="3"/>
  <c r="N45" i="3"/>
  <c r="O45" i="3"/>
  <c r="F46" i="3"/>
  <c r="G46" i="3"/>
  <c r="H46" i="3"/>
  <c r="I46" i="3"/>
  <c r="J46" i="3"/>
  <c r="L46" i="3"/>
  <c r="M46" i="3"/>
  <c r="N46" i="3"/>
  <c r="O46" i="3"/>
  <c r="F47" i="3"/>
  <c r="G47" i="3"/>
  <c r="H47" i="3"/>
  <c r="I47" i="3"/>
  <c r="J47" i="3"/>
  <c r="L47" i="3"/>
  <c r="M47" i="3"/>
  <c r="N47" i="3"/>
  <c r="O47" i="3"/>
  <c r="F48" i="3"/>
  <c r="G48" i="3"/>
  <c r="H48" i="3"/>
  <c r="I48" i="3"/>
  <c r="J48" i="3"/>
  <c r="L48" i="3"/>
  <c r="M48" i="3"/>
  <c r="N48" i="3"/>
  <c r="O48" i="3"/>
  <c r="F49" i="3"/>
  <c r="G49" i="3"/>
  <c r="H49" i="3"/>
  <c r="I49" i="3"/>
  <c r="J49" i="3"/>
  <c r="L49" i="3"/>
  <c r="M49" i="3"/>
  <c r="N49" i="3"/>
  <c r="O49" i="3"/>
  <c r="F50" i="3"/>
  <c r="G50" i="3"/>
  <c r="H50" i="3"/>
  <c r="I50" i="3"/>
  <c r="J50" i="3"/>
  <c r="L50" i="3"/>
  <c r="M50" i="3"/>
  <c r="N50" i="3"/>
  <c r="O50" i="3"/>
  <c r="F51" i="3"/>
  <c r="G51" i="3"/>
  <c r="H51" i="3"/>
  <c r="I51" i="3"/>
  <c r="J51" i="3"/>
  <c r="L51" i="3"/>
  <c r="M51" i="3"/>
  <c r="N51" i="3"/>
  <c r="O51" i="3"/>
  <c r="F52" i="3"/>
  <c r="G52" i="3"/>
  <c r="H52" i="3"/>
  <c r="I52" i="3"/>
  <c r="J52" i="3"/>
  <c r="L52" i="3"/>
  <c r="M52" i="3"/>
  <c r="N52" i="3"/>
  <c r="O52" i="3"/>
  <c r="F53" i="3"/>
  <c r="G53" i="3"/>
  <c r="H53" i="3"/>
  <c r="I53" i="3"/>
  <c r="J53" i="3"/>
  <c r="L53" i="3"/>
  <c r="M53" i="3"/>
  <c r="N53" i="3"/>
  <c r="O53" i="3"/>
  <c r="F54" i="3"/>
  <c r="G54" i="3"/>
  <c r="H54" i="3"/>
  <c r="I54" i="3"/>
  <c r="J54" i="3"/>
  <c r="L54" i="3"/>
  <c r="M54" i="3"/>
  <c r="N54" i="3"/>
  <c r="O54" i="3"/>
  <c r="F55" i="3"/>
  <c r="G55" i="3"/>
  <c r="H55" i="3"/>
  <c r="I55" i="3"/>
  <c r="J55" i="3"/>
  <c r="L55" i="3"/>
  <c r="M55" i="3"/>
  <c r="N55" i="3"/>
  <c r="O55" i="3"/>
  <c r="F56" i="3"/>
  <c r="G56" i="3"/>
  <c r="H56" i="3"/>
  <c r="I56" i="3"/>
  <c r="J56" i="3"/>
  <c r="L56" i="3"/>
  <c r="M56" i="3"/>
  <c r="N56" i="3"/>
  <c r="O56" i="3"/>
  <c r="F57" i="3"/>
  <c r="G57" i="3"/>
  <c r="H57" i="3"/>
  <c r="I57" i="3"/>
  <c r="J57" i="3"/>
  <c r="L57" i="3"/>
  <c r="M57" i="3"/>
  <c r="N57" i="3"/>
  <c r="O57" i="3"/>
  <c r="F58" i="3"/>
  <c r="G58" i="3"/>
  <c r="H58" i="3"/>
  <c r="I58" i="3"/>
  <c r="J58" i="3"/>
  <c r="L58" i="3"/>
  <c r="M58" i="3"/>
  <c r="N58" i="3"/>
  <c r="O58" i="3"/>
  <c r="F59" i="3"/>
  <c r="G59" i="3"/>
  <c r="H59" i="3"/>
  <c r="I59" i="3"/>
  <c r="J59" i="3"/>
  <c r="L59" i="3"/>
  <c r="M59" i="3"/>
  <c r="N59" i="3"/>
  <c r="O59" i="3"/>
  <c r="F60" i="3"/>
  <c r="G60" i="3"/>
  <c r="H60" i="3"/>
  <c r="I60" i="3"/>
  <c r="J60" i="3"/>
  <c r="L60" i="3"/>
  <c r="M60" i="3"/>
  <c r="N60" i="3"/>
  <c r="O60" i="3"/>
  <c r="F61" i="3"/>
  <c r="G61" i="3"/>
  <c r="H61" i="3"/>
  <c r="I61" i="3"/>
  <c r="J61" i="3"/>
  <c r="L61" i="3"/>
  <c r="M61" i="3"/>
  <c r="N61" i="3"/>
  <c r="O61" i="3"/>
  <c r="F62" i="3"/>
  <c r="G62" i="3"/>
  <c r="H62" i="3"/>
  <c r="I62" i="3"/>
  <c r="J62" i="3"/>
  <c r="L62" i="3"/>
  <c r="M62" i="3"/>
  <c r="N62" i="3"/>
  <c r="O62" i="3"/>
  <c r="F63" i="3"/>
  <c r="G63" i="3"/>
  <c r="H63" i="3"/>
  <c r="I63" i="3"/>
  <c r="J63" i="3"/>
  <c r="L63" i="3"/>
  <c r="M63" i="3"/>
  <c r="N63" i="3"/>
  <c r="O63" i="3"/>
  <c r="F64" i="3"/>
  <c r="G64" i="3"/>
  <c r="H64" i="3"/>
  <c r="I64" i="3"/>
  <c r="J64" i="3"/>
  <c r="L64" i="3"/>
  <c r="M64" i="3"/>
  <c r="N64" i="3"/>
  <c r="O64" i="3"/>
  <c r="F65" i="3"/>
  <c r="G65" i="3"/>
  <c r="H65" i="3"/>
  <c r="I65" i="3"/>
  <c r="J65" i="3"/>
  <c r="L65" i="3"/>
  <c r="M65" i="3"/>
  <c r="N65" i="3"/>
  <c r="O65" i="3"/>
  <c r="F66" i="3"/>
  <c r="G66" i="3"/>
  <c r="H66" i="3"/>
  <c r="I66" i="3"/>
  <c r="J66" i="3"/>
  <c r="L66" i="3"/>
  <c r="M66" i="3"/>
  <c r="N66" i="3"/>
  <c r="O66" i="3"/>
  <c r="F67" i="3"/>
  <c r="G67" i="3"/>
  <c r="H67" i="3"/>
  <c r="I67" i="3"/>
  <c r="J67" i="3"/>
  <c r="L67" i="3"/>
  <c r="M67" i="3"/>
  <c r="N67" i="3"/>
  <c r="O67" i="3"/>
  <c r="F68" i="3"/>
  <c r="G68" i="3"/>
  <c r="H68" i="3"/>
  <c r="I68" i="3"/>
  <c r="J68" i="3"/>
  <c r="L68" i="3"/>
  <c r="M68" i="3"/>
  <c r="N68" i="3"/>
  <c r="O68" i="3"/>
  <c r="F69" i="3"/>
  <c r="G69" i="3"/>
  <c r="H69" i="3"/>
  <c r="I69" i="3"/>
  <c r="J69" i="3"/>
  <c r="L69" i="3"/>
  <c r="M69" i="3"/>
  <c r="N69" i="3"/>
  <c r="O69" i="3"/>
  <c r="F70" i="3"/>
  <c r="G70" i="3"/>
  <c r="H70" i="3"/>
  <c r="I70" i="3"/>
  <c r="J70" i="3"/>
  <c r="L70" i="3"/>
  <c r="M70" i="3"/>
  <c r="N70" i="3"/>
  <c r="O70" i="3"/>
  <c r="F71" i="3"/>
  <c r="G71" i="3"/>
  <c r="H71" i="3"/>
  <c r="I71" i="3"/>
  <c r="J71" i="3"/>
  <c r="L71" i="3"/>
  <c r="M71" i="3"/>
  <c r="N71" i="3"/>
  <c r="O71" i="3"/>
  <c r="F72" i="3"/>
  <c r="G72" i="3"/>
  <c r="H72" i="3"/>
  <c r="I72" i="3"/>
  <c r="J72" i="3"/>
  <c r="L72" i="3"/>
  <c r="M72" i="3"/>
  <c r="N72" i="3"/>
  <c r="O72" i="3"/>
  <c r="F73" i="3"/>
  <c r="G73" i="3"/>
  <c r="H73" i="3"/>
  <c r="I73" i="3"/>
  <c r="J73" i="3"/>
  <c r="L73" i="3"/>
  <c r="M73" i="3"/>
  <c r="N73" i="3"/>
  <c r="O73" i="3"/>
  <c r="F74" i="3"/>
  <c r="G74" i="3"/>
  <c r="H74" i="3"/>
  <c r="I74" i="3"/>
  <c r="J74" i="3"/>
  <c r="L74" i="3"/>
  <c r="M74" i="3"/>
  <c r="N74" i="3"/>
  <c r="O74" i="3"/>
  <c r="F75" i="3"/>
  <c r="G75" i="3"/>
  <c r="H75" i="3"/>
  <c r="I75" i="3"/>
  <c r="J75" i="3"/>
  <c r="L75" i="3"/>
  <c r="M75" i="3"/>
  <c r="N75" i="3"/>
  <c r="O75" i="3"/>
  <c r="F76" i="3"/>
  <c r="G76" i="3"/>
  <c r="H76" i="3"/>
  <c r="I76" i="3"/>
  <c r="J76" i="3"/>
  <c r="L76" i="3"/>
  <c r="M76" i="3"/>
  <c r="N76" i="3"/>
  <c r="O76" i="3"/>
  <c r="F77" i="3"/>
  <c r="G77" i="3"/>
  <c r="H77" i="3"/>
  <c r="I77" i="3"/>
  <c r="J77" i="3"/>
  <c r="L77" i="3"/>
  <c r="M77" i="3"/>
  <c r="N77" i="3"/>
  <c r="O77" i="3"/>
  <c r="F78" i="3"/>
  <c r="G78" i="3"/>
  <c r="H78" i="3"/>
  <c r="I78" i="3"/>
  <c r="J78" i="3"/>
  <c r="L78" i="3"/>
  <c r="M78" i="3"/>
  <c r="N78" i="3"/>
  <c r="O78" i="3"/>
  <c r="F79" i="3"/>
  <c r="G79" i="3"/>
  <c r="H79" i="3"/>
  <c r="I79" i="3"/>
  <c r="J79" i="3"/>
  <c r="L79" i="3"/>
  <c r="M79" i="3"/>
  <c r="N79" i="3"/>
  <c r="O79" i="3"/>
  <c r="F80" i="3"/>
  <c r="G80" i="3"/>
  <c r="H80" i="3"/>
  <c r="I80" i="3"/>
  <c r="J80" i="3"/>
  <c r="L80" i="3"/>
  <c r="M80" i="3"/>
  <c r="N80" i="3"/>
  <c r="O80" i="3"/>
  <c r="F81" i="3"/>
  <c r="G81" i="3"/>
  <c r="H81" i="3"/>
  <c r="I81" i="3"/>
  <c r="J81" i="3"/>
  <c r="L81" i="3"/>
  <c r="M81" i="3"/>
  <c r="N81" i="3"/>
  <c r="O81" i="3"/>
  <c r="F27" i="3"/>
  <c r="G27" i="3"/>
  <c r="H27" i="3"/>
  <c r="I27" i="3"/>
  <c r="J27" i="3"/>
  <c r="L27" i="3"/>
  <c r="M27" i="3"/>
  <c r="N27" i="3"/>
  <c r="O27" i="3"/>
  <c r="F28" i="3"/>
  <c r="G28" i="3"/>
  <c r="H28" i="3"/>
  <c r="I28" i="3"/>
  <c r="J28" i="3"/>
  <c r="L28" i="3"/>
  <c r="M28" i="3"/>
  <c r="N28" i="3"/>
  <c r="O28" i="3"/>
  <c r="F29" i="3"/>
  <c r="G29" i="3"/>
  <c r="H29" i="3"/>
  <c r="I29" i="3"/>
  <c r="J29" i="3"/>
  <c r="L29" i="3"/>
  <c r="M29" i="3"/>
  <c r="N29" i="3"/>
  <c r="O29" i="3"/>
  <c r="F30" i="3"/>
  <c r="G30" i="3"/>
  <c r="H30" i="3"/>
  <c r="I30" i="3"/>
  <c r="J30" i="3"/>
  <c r="L30" i="3"/>
  <c r="M30" i="3"/>
  <c r="N30" i="3"/>
  <c r="O30" i="3"/>
  <c r="F31" i="3"/>
  <c r="G31" i="3"/>
  <c r="H31" i="3"/>
  <c r="I31" i="3"/>
  <c r="J31" i="3"/>
  <c r="L31" i="3"/>
  <c r="M31" i="3"/>
  <c r="N31" i="3"/>
  <c r="O31" i="3"/>
  <c r="F32" i="3"/>
  <c r="G32" i="3"/>
  <c r="H32" i="3"/>
  <c r="I32" i="3"/>
  <c r="J32" i="3"/>
  <c r="L32" i="3"/>
  <c r="M32" i="3"/>
  <c r="N32" i="3"/>
  <c r="O32" i="3"/>
  <c r="F33" i="3"/>
  <c r="G33" i="3"/>
  <c r="H33" i="3"/>
  <c r="I33" i="3"/>
  <c r="J33" i="3"/>
  <c r="L33" i="3"/>
  <c r="M33" i="3"/>
  <c r="N33" i="3"/>
  <c r="O33" i="3"/>
  <c r="F34" i="3"/>
  <c r="G34" i="3"/>
  <c r="H34" i="3"/>
  <c r="I34" i="3"/>
  <c r="J34" i="3"/>
  <c r="L34" i="3"/>
  <c r="M34" i="3"/>
  <c r="N34" i="3"/>
  <c r="O34" i="3"/>
  <c r="F35" i="3"/>
  <c r="G35" i="3"/>
  <c r="H35" i="3"/>
  <c r="I35" i="3"/>
  <c r="J35" i="3"/>
  <c r="L35" i="3"/>
  <c r="M35" i="3"/>
  <c r="N35" i="3"/>
  <c r="O35" i="3"/>
  <c r="F36" i="3"/>
  <c r="G36" i="3"/>
  <c r="H36" i="3"/>
  <c r="I36" i="3"/>
  <c r="J36" i="3"/>
  <c r="L36" i="3"/>
  <c r="M36" i="3"/>
  <c r="N36" i="3"/>
  <c r="O36" i="3"/>
  <c r="F37" i="3"/>
  <c r="G37" i="3"/>
  <c r="H37" i="3"/>
  <c r="I37" i="3"/>
  <c r="J37" i="3"/>
  <c r="L37" i="3"/>
  <c r="M37" i="3"/>
  <c r="N37" i="3"/>
  <c r="O37" i="3"/>
  <c r="F38" i="3"/>
  <c r="G38" i="3"/>
  <c r="H38" i="3"/>
  <c r="I38" i="3"/>
  <c r="J38" i="3"/>
  <c r="L38" i="3"/>
  <c r="M38" i="3"/>
  <c r="N38" i="3"/>
  <c r="O38" i="3"/>
  <c r="F39" i="3"/>
  <c r="G39" i="3"/>
  <c r="H39" i="3"/>
  <c r="I39" i="3"/>
  <c r="J39" i="3"/>
  <c r="L39" i="3"/>
  <c r="M39" i="3"/>
  <c r="N39" i="3"/>
  <c r="O39" i="3"/>
  <c r="F40" i="3"/>
  <c r="G40" i="3"/>
  <c r="H40" i="3"/>
  <c r="I40" i="3"/>
  <c r="J40" i="3"/>
  <c r="L40" i="3"/>
  <c r="M40" i="3"/>
  <c r="N40" i="3"/>
  <c r="O40" i="3"/>
  <c r="O26" i="3"/>
  <c r="N26" i="3"/>
  <c r="M26" i="3"/>
  <c r="L26" i="3"/>
  <c r="J26" i="3"/>
  <c r="I26" i="3"/>
  <c r="H26" i="3"/>
  <c r="F26" i="3"/>
  <c r="G26" i="3"/>
  <c r="S86" i="4" l="1"/>
  <c r="T27" i="2"/>
  <c r="U27" i="2" s="1"/>
  <c r="V34" i="3"/>
  <c r="W34" i="3" s="1"/>
  <c r="V73" i="3"/>
  <c r="V30" i="3"/>
  <c r="V81" i="3"/>
  <c r="W81" i="3" s="1"/>
  <c r="T44" i="2"/>
  <c r="T62" i="2"/>
  <c r="U62" i="2" s="1"/>
  <c r="T31" i="2"/>
  <c r="U31" i="2" s="1"/>
  <c r="T48" i="2"/>
  <c r="U48" i="2" s="1"/>
  <c r="T32" i="2"/>
  <c r="U32" i="2" s="1"/>
  <c r="T56" i="2"/>
  <c r="U56" i="2" s="1"/>
  <c r="T66" i="2"/>
  <c r="U66" i="2" s="1"/>
  <c r="T36" i="2"/>
  <c r="U36" i="2" s="1"/>
  <c r="T69" i="2"/>
  <c r="U69" i="2" s="1"/>
  <c r="T35" i="2"/>
  <c r="U35" i="2" s="1"/>
  <c r="T41" i="2"/>
  <c r="U41" i="2" s="1"/>
  <c r="T77" i="2"/>
  <c r="U77" i="2" s="1"/>
  <c r="T37" i="2"/>
  <c r="U37" i="2" s="1"/>
  <c r="T60" i="2"/>
  <c r="U60" i="2" s="1"/>
  <c r="T75" i="2"/>
  <c r="U75" i="2" s="1"/>
  <c r="T38" i="2"/>
  <c r="U38" i="2" s="1"/>
  <c r="T50" i="2"/>
  <c r="U50" i="2" s="1"/>
  <c r="T71" i="2"/>
  <c r="U71" i="2" s="1"/>
  <c r="T43" i="2"/>
  <c r="U43" i="2" s="1"/>
  <c r="T82" i="2"/>
  <c r="U82" i="2" s="1"/>
  <c r="T30" i="2"/>
  <c r="U30" i="2" s="1"/>
  <c r="T42" i="2"/>
  <c r="U42" i="2" s="1"/>
  <c r="T81" i="2"/>
  <c r="U81" i="2" s="1"/>
  <c r="T28" i="2"/>
  <c r="U28" i="2" s="1"/>
  <c r="T34" i="2"/>
  <c r="U34" i="2" s="1"/>
  <c r="T40" i="2"/>
  <c r="U40" i="2" s="1"/>
  <c r="T46" i="2"/>
  <c r="U46" i="2" s="1"/>
  <c r="T52" i="2"/>
  <c r="U52" i="2" s="1"/>
  <c r="T58" i="2"/>
  <c r="U58" i="2" s="1"/>
  <c r="T64" i="2"/>
  <c r="U64" i="2" s="1"/>
  <c r="T67" i="2"/>
  <c r="U67" i="2" s="1"/>
  <c r="T73" i="2"/>
  <c r="U73" i="2" s="1"/>
  <c r="T79" i="2"/>
  <c r="U79" i="2" s="1"/>
  <c r="V69" i="3"/>
  <c r="W69" i="3" s="1"/>
  <c r="V66" i="3"/>
  <c r="W66" i="3" s="1"/>
  <c r="V64" i="3"/>
  <c r="W64" i="3" s="1"/>
  <c r="V60" i="3"/>
  <c r="W60" i="3" s="1"/>
  <c r="V56" i="3"/>
  <c r="W56" i="3" s="1"/>
  <c r="V52" i="3"/>
  <c r="W52" i="3" s="1"/>
  <c r="V48" i="3"/>
  <c r="W48" i="3" s="1"/>
  <c r="V44" i="3"/>
  <c r="W44" i="3" s="1"/>
  <c r="V38" i="3"/>
  <c r="W38" i="3" s="1"/>
  <c r="T54" i="2"/>
  <c r="U54" i="2" s="1"/>
  <c r="T47" i="2"/>
  <c r="U47" i="2" s="1"/>
  <c r="T49" i="2"/>
  <c r="U49" i="2" s="1"/>
  <c r="T51" i="2"/>
  <c r="U51" i="2" s="1"/>
  <c r="T53" i="2"/>
  <c r="U53" i="2" s="1"/>
  <c r="T55" i="2"/>
  <c r="U55" i="2" s="1"/>
  <c r="T57" i="2"/>
  <c r="U57" i="2" s="1"/>
  <c r="T59" i="2"/>
  <c r="U59" i="2" s="1"/>
  <c r="T61" i="2"/>
  <c r="U61" i="2" s="1"/>
  <c r="T63" i="2"/>
  <c r="U63" i="2" s="1"/>
  <c r="T65" i="2"/>
  <c r="U65" i="2" s="1"/>
  <c r="T68" i="2"/>
  <c r="U68" i="2" s="1"/>
  <c r="T70" i="2"/>
  <c r="U70" i="2" s="1"/>
  <c r="T72" i="2"/>
  <c r="U72" i="2" s="1"/>
  <c r="T74" i="2"/>
  <c r="U74" i="2" s="1"/>
  <c r="T76" i="2"/>
  <c r="U76" i="2" s="1"/>
  <c r="T78" i="2"/>
  <c r="U78" i="2" s="1"/>
  <c r="T80" i="2"/>
  <c r="U80" i="2" s="1"/>
  <c r="T45" i="2"/>
  <c r="U45" i="2" s="1"/>
  <c r="T26" i="2"/>
  <c r="U26" i="2" s="1"/>
  <c r="T39" i="2"/>
  <c r="U39" i="2" s="1"/>
  <c r="R34" i="2"/>
  <c r="S34" i="2" s="1"/>
  <c r="P33" i="2"/>
  <c r="Q33" i="2" s="1"/>
  <c r="T33" i="2"/>
  <c r="U33" i="2" s="1"/>
  <c r="R32" i="2"/>
  <c r="S32" i="2" s="1"/>
  <c r="P31" i="2"/>
  <c r="Q31" i="2" s="1"/>
  <c r="R30" i="2"/>
  <c r="S30" i="2" s="1"/>
  <c r="P29" i="2"/>
  <c r="Q29" i="2" s="1"/>
  <c r="T29" i="2"/>
  <c r="U29" i="2" s="1"/>
  <c r="P27" i="2"/>
  <c r="Q27" i="2" s="1"/>
  <c r="P35" i="2"/>
  <c r="Q35" i="2" s="1"/>
  <c r="R36" i="2"/>
  <c r="S36" i="2" s="1"/>
  <c r="P37" i="2"/>
  <c r="Q37" i="2" s="1"/>
  <c r="R38" i="2"/>
  <c r="S38" i="2" s="1"/>
  <c r="P39" i="2"/>
  <c r="Q39" i="2" s="1"/>
  <c r="R40" i="2"/>
  <c r="S40" i="2" s="1"/>
  <c r="P41" i="2"/>
  <c r="Q41" i="2" s="1"/>
  <c r="R42" i="2"/>
  <c r="S42" i="2" s="1"/>
  <c r="P43" i="2"/>
  <c r="Q43" i="2" s="1"/>
  <c r="R44" i="2"/>
  <c r="S44" i="2" s="1"/>
  <c r="P45" i="2"/>
  <c r="Q45" i="2" s="1"/>
  <c r="V40" i="3"/>
  <c r="W40" i="3" s="1"/>
  <c r="V39" i="3"/>
  <c r="W39" i="3" s="1"/>
  <c r="V35" i="3"/>
  <c r="W35" i="3" s="1"/>
  <c r="V31" i="3"/>
  <c r="W31" i="3" s="1"/>
  <c r="V27" i="3"/>
  <c r="W27" i="3" s="1"/>
  <c r="V78" i="3"/>
  <c r="W78" i="3" s="1"/>
  <c r="V74" i="3"/>
  <c r="W74" i="3" s="1"/>
  <c r="V70" i="3"/>
  <c r="W70" i="3" s="1"/>
  <c r="V61" i="3"/>
  <c r="W61" i="3" s="1"/>
  <c r="V57" i="3"/>
  <c r="W57" i="3" s="1"/>
  <c r="V53" i="3"/>
  <c r="W53" i="3" s="1"/>
  <c r="V49" i="3"/>
  <c r="W49" i="3" s="1"/>
  <c r="V45" i="3"/>
  <c r="W45" i="3" s="1"/>
  <c r="V41" i="3"/>
  <c r="W41" i="3" s="1"/>
  <c r="R26" i="2"/>
  <c r="S26" i="2" s="1"/>
  <c r="R28" i="2"/>
  <c r="S28" i="2" s="1"/>
  <c r="V37" i="3"/>
  <c r="W37" i="3" s="1"/>
  <c r="V33" i="3"/>
  <c r="W33" i="3" s="1"/>
  <c r="V29" i="3"/>
  <c r="W29" i="3" s="1"/>
  <c r="V80" i="3"/>
  <c r="W80" i="3" s="1"/>
  <c r="V76" i="3"/>
  <c r="W76" i="3" s="1"/>
  <c r="V72" i="3"/>
  <c r="W72" i="3" s="1"/>
  <c r="V68" i="3"/>
  <c r="W68" i="3" s="1"/>
  <c r="V65" i="3"/>
  <c r="W65" i="3" s="1"/>
  <c r="V63" i="3"/>
  <c r="W63" i="3" s="1"/>
  <c r="V59" i="3"/>
  <c r="W59" i="3" s="1"/>
  <c r="V55" i="3"/>
  <c r="W55" i="3" s="1"/>
  <c r="V51" i="3"/>
  <c r="W51" i="3" s="1"/>
  <c r="V47" i="3"/>
  <c r="W47" i="3" s="1"/>
  <c r="V43" i="3"/>
  <c r="W43" i="3" s="1"/>
  <c r="V82" i="3"/>
  <c r="W82" i="3" s="1"/>
  <c r="V26" i="3"/>
  <c r="W26" i="3" s="1"/>
  <c r="V36" i="3"/>
  <c r="W36" i="3" s="1"/>
  <c r="V32" i="3"/>
  <c r="W32" i="3" s="1"/>
  <c r="V28" i="3"/>
  <c r="W28" i="3" s="1"/>
  <c r="V79" i="3"/>
  <c r="W79" i="3" s="1"/>
  <c r="V75" i="3"/>
  <c r="W75" i="3" s="1"/>
  <c r="V71" i="3"/>
  <c r="W71" i="3" s="1"/>
  <c r="V67" i="3"/>
  <c r="W67" i="3" s="1"/>
  <c r="V62" i="3"/>
  <c r="W62" i="3" s="1"/>
  <c r="V58" i="3"/>
  <c r="W58" i="3" s="1"/>
  <c r="V54" i="3"/>
  <c r="W54" i="3" s="1"/>
  <c r="V50" i="3"/>
  <c r="W50" i="3" s="1"/>
  <c r="V46" i="3"/>
  <c r="W46" i="3" s="1"/>
  <c r="V42" i="3"/>
  <c r="W42" i="3" s="1"/>
  <c r="Q26" i="3"/>
  <c r="V77" i="3"/>
  <c r="W77" i="3" s="1"/>
  <c r="C74" i="23"/>
  <c r="C75" i="23"/>
  <c r="R46" i="2"/>
  <c r="S46" i="2" s="1"/>
  <c r="P47" i="2"/>
  <c r="Q47" i="2" s="1"/>
  <c r="R48" i="2"/>
  <c r="S48" i="2" s="1"/>
  <c r="P49" i="2"/>
  <c r="Q49" i="2" s="1"/>
  <c r="R50" i="2"/>
  <c r="S50" i="2" s="1"/>
  <c r="P51" i="2"/>
  <c r="Q51" i="2" s="1"/>
  <c r="R52" i="2"/>
  <c r="S52" i="2" s="1"/>
  <c r="P53" i="2"/>
  <c r="Q53" i="2" s="1"/>
  <c r="R54" i="2"/>
  <c r="S54" i="2" s="1"/>
  <c r="P55" i="2"/>
  <c r="Q55" i="2" s="1"/>
  <c r="R56" i="2"/>
  <c r="S56" i="2" s="1"/>
  <c r="P57" i="2"/>
  <c r="Q57" i="2" s="1"/>
  <c r="R58" i="2"/>
  <c r="S58" i="2" s="1"/>
  <c r="P59" i="2"/>
  <c r="Q59" i="2" s="1"/>
  <c r="R60" i="2"/>
  <c r="S60" i="2" s="1"/>
  <c r="P61" i="2"/>
  <c r="Q61" i="2" s="1"/>
  <c r="R62" i="2"/>
  <c r="S62" i="2" s="1"/>
  <c r="P63" i="2"/>
  <c r="Q63" i="2" s="1"/>
  <c r="R64" i="2"/>
  <c r="S64" i="2" s="1"/>
  <c r="P65" i="2"/>
  <c r="Q65" i="2" s="1"/>
  <c r="R66" i="2"/>
  <c r="S66" i="2" s="1"/>
  <c r="R67" i="2"/>
  <c r="S67" i="2" s="1"/>
  <c r="P68" i="2"/>
  <c r="Q68" i="2" s="1"/>
  <c r="R69" i="2"/>
  <c r="S69" i="2" s="1"/>
  <c r="P70" i="2"/>
  <c r="Q70" i="2" s="1"/>
  <c r="R71" i="2"/>
  <c r="S71" i="2" s="1"/>
  <c r="P72" i="2"/>
  <c r="Q72" i="2" s="1"/>
  <c r="R73" i="2"/>
  <c r="S73" i="2" s="1"/>
  <c r="P74" i="2"/>
  <c r="Q74" i="2" s="1"/>
  <c r="R75" i="2"/>
  <c r="S75" i="2" s="1"/>
  <c r="P76" i="2"/>
  <c r="Q76" i="2" s="1"/>
  <c r="R77" i="2"/>
  <c r="S77" i="2" s="1"/>
  <c r="Y86" i="4"/>
  <c r="T26" i="3"/>
  <c r="T37" i="3"/>
  <c r="T35" i="3"/>
  <c r="T33" i="3"/>
  <c r="T29" i="3"/>
  <c r="T27" i="3"/>
  <c r="T74" i="3"/>
  <c r="W73" i="3"/>
  <c r="T72" i="3"/>
  <c r="T70" i="3"/>
  <c r="P77" i="2"/>
  <c r="Q77" i="2" s="1"/>
  <c r="T39" i="3"/>
  <c r="T31" i="3"/>
  <c r="T80" i="3"/>
  <c r="T78" i="3"/>
  <c r="T76" i="3"/>
  <c r="Y26" i="2"/>
  <c r="U86" i="4"/>
  <c r="U87" i="4" s="1"/>
  <c r="W86" i="4"/>
  <c r="P26" i="2"/>
  <c r="Q26" i="2" s="1"/>
  <c r="Q78" i="3"/>
  <c r="Q70" i="3"/>
  <c r="Q57" i="3"/>
  <c r="Q49" i="3"/>
  <c r="Q41" i="3"/>
  <c r="Q33" i="3"/>
  <c r="Q75" i="3"/>
  <c r="Q67" i="3"/>
  <c r="Q62" i="3"/>
  <c r="Q54" i="3"/>
  <c r="Q46" i="3"/>
  <c r="Q38" i="3"/>
  <c r="Q30" i="3"/>
  <c r="Q81" i="3"/>
  <c r="Q73" i="3"/>
  <c r="Q66" i="3"/>
  <c r="Q60" i="3"/>
  <c r="Q52" i="3"/>
  <c r="Q44" i="3"/>
  <c r="Q36" i="3"/>
  <c r="Q28" i="3"/>
  <c r="Q80" i="3"/>
  <c r="Q72" i="3"/>
  <c r="Q65" i="3"/>
  <c r="Q59" i="3"/>
  <c r="Q51" i="3"/>
  <c r="Q43" i="3"/>
  <c r="Q35" i="3"/>
  <c r="Q27" i="3"/>
  <c r="Q82" i="3"/>
  <c r="Q74" i="3"/>
  <c r="Q61" i="3"/>
  <c r="Q53" i="3"/>
  <c r="Q45" i="3"/>
  <c r="Q37" i="3"/>
  <c r="Q29" i="3"/>
  <c r="Q79" i="3"/>
  <c r="Q71" i="3"/>
  <c r="Q58" i="3"/>
  <c r="Q50" i="3"/>
  <c r="Q42" i="3"/>
  <c r="Q34" i="3"/>
  <c r="Q77" i="3"/>
  <c r="Q69" i="3"/>
  <c r="Q64" i="3"/>
  <c r="Q56" i="3"/>
  <c r="Q48" i="3"/>
  <c r="Q40" i="3"/>
  <c r="Q32" i="3"/>
  <c r="Q76" i="3"/>
  <c r="Q68" i="3"/>
  <c r="Q63" i="3"/>
  <c r="Q55" i="3"/>
  <c r="Q47" i="3"/>
  <c r="Q39" i="3"/>
  <c r="Q31" i="3"/>
  <c r="T40" i="3"/>
  <c r="T38" i="3"/>
  <c r="T36" i="3"/>
  <c r="T34" i="3"/>
  <c r="T32" i="3"/>
  <c r="T30" i="3"/>
  <c r="T28" i="3"/>
  <c r="T81" i="3"/>
  <c r="T79" i="3"/>
  <c r="T77" i="3"/>
  <c r="T75" i="3"/>
  <c r="T73" i="3"/>
  <c r="X39" i="3"/>
  <c r="Y39" i="3" s="1"/>
  <c r="X37" i="3"/>
  <c r="Y37" i="3" s="1"/>
  <c r="X35" i="3"/>
  <c r="Y35" i="3" s="1"/>
  <c r="X33" i="3"/>
  <c r="Y33" i="3" s="1"/>
  <c r="X31" i="3"/>
  <c r="Y31" i="3" s="1"/>
  <c r="X29" i="3"/>
  <c r="X27" i="3"/>
  <c r="Y27" i="3" s="1"/>
  <c r="X80" i="3"/>
  <c r="Y80" i="3" s="1"/>
  <c r="X78" i="3"/>
  <c r="Y78" i="3" s="1"/>
  <c r="X76" i="3"/>
  <c r="Y76" i="3" s="1"/>
  <c r="X74" i="3"/>
  <c r="Y74" i="3" s="1"/>
  <c r="X72" i="3"/>
  <c r="Y72" i="3" s="1"/>
  <c r="X70" i="3"/>
  <c r="Y70" i="3" s="1"/>
  <c r="X68" i="3"/>
  <c r="Y68" i="3" s="1"/>
  <c r="X65" i="3"/>
  <c r="Y65" i="3" s="1"/>
  <c r="X63" i="3"/>
  <c r="Y63" i="3" s="1"/>
  <c r="X61" i="3"/>
  <c r="Y61" i="3" s="1"/>
  <c r="X59" i="3"/>
  <c r="Y59" i="3" s="1"/>
  <c r="X57" i="3"/>
  <c r="Y57" i="3" s="1"/>
  <c r="X55" i="3"/>
  <c r="Y55" i="3" s="1"/>
  <c r="X53" i="3"/>
  <c r="Y53" i="3" s="1"/>
  <c r="X51" i="3"/>
  <c r="Y51" i="3" s="1"/>
  <c r="X49" i="3"/>
  <c r="Y49" i="3" s="1"/>
  <c r="X47" i="3"/>
  <c r="Y47" i="3" s="1"/>
  <c r="X45" i="3"/>
  <c r="Y45" i="3" s="1"/>
  <c r="X43" i="3"/>
  <c r="Y43" i="3" s="1"/>
  <c r="X41" i="3"/>
  <c r="Y41" i="3" s="1"/>
  <c r="X82" i="3"/>
  <c r="Y82" i="3" s="1"/>
  <c r="T68" i="3"/>
  <c r="T65" i="3"/>
  <c r="T63" i="3"/>
  <c r="T61" i="3"/>
  <c r="T59" i="3"/>
  <c r="T57" i="3"/>
  <c r="T55" i="3"/>
  <c r="T53" i="3"/>
  <c r="T51" i="3"/>
  <c r="T49" i="3"/>
  <c r="T47" i="3"/>
  <c r="T45" i="3"/>
  <c r="T43" i="3"/>
  <c r="T41" i="3"/>
  <c r="T82" i="3"/>
  <c r="X40" i="3"/>
  <c r="Y40" i="3" s="1"/>
  <c r="X38" i="3"/>
  <c r="Y38" i="3" s="1"/>
  <c r="X36" i="3"/>
  <c r="Y36" i="3" s="1"/>
  <c r="X34" i="3"/>
  <c r="Y34" i="3" s="1"/>
  <c r="X32" i="3"/>
  <c r="Y32" i="3" s="1"/>
  <c r="X30" i="3"/>
  <c r="Y30" i="3" s="1"/>
  <c r="X28" i="3"/>
  <c r="Y28" i="3" s="1"/>
  <c r="X81" i="3"/>
  <c r="Y81" i="3" s="1"/>
  <c r="X79" i="3"/>
  <c r="Y79" i="3" s="1"/>
  <c r="X77" i="3"/>
  <c r="Y77" i="3" s="1"/>
  <c r="X75" i="3"/>
  <c r="Y75" i="3" s="1"/>
  <c r="X73" i="3"/>
  <c r="Y73" i="3" s="1"/>
  <c r="X71" i="3"/>
  <c r="Y71" i="3" s="1"/>
  <c r="X69" i="3"/>
  <c r="Y69" i="3" s="1"/>
  <c r="X67" i="3"/>
  <c r="Y67" i="3" s="1"/>
  <c r="X66" i="3"/>
  <c r="Y66" i="3" s="1"/>
  <c r="X64" i="3"/>
  <c r="Y64" i="3" s="1"/>
  <c r="X62" i="3"/>
  <c r="Y62" i="3" s="1"/>
  <c r="X60" i="3"/>
  <c r="Y60" i="3" s="1"/>
  <c r="X58" i="3"/>
  <c r="Y58" i="3" s="1"/>
  <c r="X56" i="3"/>
  <c r="Y56" i="3" s="1"/>
  <c r="X54" i="3"/>
  <c r="Y54" i="3" s="1"/>
  <c r="X52" i="3"/>
  <c r="Y52" i="3" s="1"/>
  <c r="X50" i="3"/>
  <c r="Y50" i="3" s="1"/>
  <c r="X48" i="3"/>
  <c r="Y48" i="3" s="1"/>
  <c r="X46" i="3"/>
  <c r="Y46" i="3" s="1"/>
  <c r="X44" i="3"/>
  <c r="Y44" i="3" s="1"/>
  <c r="X42" i="3"/>
  <c r="Y42" i="3" s="1"/>
  <c r="T71" i="3"/>
  <c r="T69" i="3"/>
  <c r="T67" i="3"/>
  <c r="T66" i="3"/>
  <c r="T64" i="3"/>
  <c r="T62" i="3"/>
  <c r="T60" i="3"/>
  <c r="T58" i="3"/>
  <c r="T56" i="3"/>
  <c r="T54" i="3"/>
  <c r="T52" i="3"/>
  <c r="T50" i="3"/>
  <c r="T48" i="3"/>
  <c r="T46" i="3"/>
  <c r="T44" i="3"/>
  <c r="T42" i="3"/>
  <c r="W30" i="3"/>
  <c r="Q86" i="4"/>
  <c r="Q87" i="4" s="1"/>
  <c r="Y81" i="2"/>
  <c r="Y66" i="2"/>
  <c r="Y52" i="2"/>
  <c r="Y36" i="2"/>
  <c r="Y78" i="2"/>
  <c r="Y49" i="2"/>
  <c r="Y33" i="2"/>
  <c r="Y79" i="2"/>
  <c r="Y50" i="2"/>
  <c r="Y34" i="2"/>
  <c r="Y76" i="2"/>
  <c r="Y63" i="2"/>
  <c r="Y47" i="2"/>
  <c r="Y31" i="2"/>
  <c r="Y77" i="2"/>
  <c r="Y64" i="2"/>
  <c r="Y48" i="2"/>
  <c r="Y32" i="2"/>
  <c r="Y74" i="2"/>
  <c r="Y61" i="2"/>
  <c r="Y45" i="2"/>
  <c r="Y29" i="2"/>
  <c r="Y75" i="2"/>
  <c r="Y62" i="2"/>
  <c r="Y46" i="2"/>
  <c r="Y30" i="2"/>
  <c r="Y72" i="2"/>
  <c r="Y59" i="2"/>
  <c r="Y43" i="2"/>
  <c r="Y27" i="2"/>
  <c r="Y73" i="2"/>
  <c r="Y60" i="2"/>
  <c r="Y44" i="2"/>
  <c r="Y28" i="2"/>
  <c r="Y70" i="2"/>
  <c r="Y57" i="2"/>
  <c r="Y41" i="2"/>
  <c r="Y71" i="2"/>
  <c r="Y58" i="2"/>
  <c r="Y42" i="2"/>
  <c r="Y68" i="2"/>
  <c r="Y55" i="2"/>
  <c r="Y39" i="2"/>
  <c r="Y69" i="2"/>
  <c r="Y56" i="2"/>
  <c r="Y40" i="2"/>
  <c r="Y82" i="2"/>
  <c r="Y53" i="2"/>
  <c r="Y37" i="2"/>
  <c r="Y67" i="2"/>
  <c r="Y54" i="2"/>
  <c r="Y38" i="2"/>
  <c r="Y80" i="2"/>
  <c r="Y65" i="2"/>
  <c r="Y51" i="2"/>
  <c r="Y35" i="2"/>
  <c r="P78" i="2"/>
  <c r="R79" i="2"/>
  <c r="S79" i="2" s="1"/>
  <c r="P80" i="2"/>
  <c r="R81" i="2"/>
  <c r="S81" i="2" s="1"/>
  <c r="W70" i="2"/>
  <c r="W57" i="2"/>
  <c r="W41" i="2"/>
  <c r="W67" i="2"/>
  <c r="W54" i="2"/>
  <c r="W38" i="2"/>
  <c r="W68" i="2"/>
  <c r="W55" i="2"/>
  <c r="W39" i="2"/>
  <c r="W81" i="2"/>
  <c r="W66" i="2"/>
  <c r="W52" i="2"/>
  <c r="W36" i="2"/>
  <c r="W82" i="2"/>
  <c r="W53" i="2"/>
  <c r="W37" i="2"/>
  <c r="W79" i="2"/>
  <c r="W50" i="2"/>
  <c r="W34" i="2"/>
  <c r="W80" i="2"/>
  <c r="W65" i="2"/>
  <c r="W51" i="2"/>
  <c r="W35" i="2"/>
  <c r="W77" i="2"/>
  <c r="W64" i="2"/>
  <c r="W48" i="2"/>
  <c r="W32" i="2"/>
  <c r="W78" i="2"/>
  <c r="W49" i="2"/>
  <c r="W33" i="2"/>
  <c r="W75" i="2"/>
  <c r="W62" i="2"/>
  <c r="W46" i="2"/>
  <c r="W30" i="2"/>
  <c r="W76" i="2"/>
  <c r="W63" i="2"/>
  <c r="W47" i="2"/>
  <c r="W31" i="2"/>
  <c r="W73" i="2"/>
  <c r="W60" i="2"/>
  <c r="W44" i="2"/>
  <c r="W28" i="2"/>
  <c r="W74" i="2"/>
  <c r="W61" i="2"/>
  <c r="W45" i="2"/>
  <c r="W29" i="2"/>
  <c r="W71" i="2"/>
  <c r="W58" i="2"/>
  <c r="W42" i="2"/>
  <c r="W72" i="2"/>
  <c r="W59" i="2"/>
  <c r="W43" i="2"/>
  <c r="W27" i="2"/>
  <c r="W69" i="2"/>
  <c r="W56" i="2"/>
  <c r="W40" i="2"/>
  <c r="U44" i="2"/>
  <c r="P28" i="2"/>
  <c r="R29" i="2"/>
  <c r="S29" i="2" s="1"/>
  <c r="R31" i="2"/>
  <c r="S31" i="2" s="1"/>
  <c r="P34" i="2"/>
  <c r="R35" i="2"/>
  <c r="S35" i="2" s="1"/>
  <c r="P38" i="2"/>
  <c r="P40" i="2"/>
  <c r="P42" i="2"/>
  <c r="P44" i="2"/>
  <c r="R45" i="2"/>
  <c r="S45" i="2" s="1"/>
  <c r="R47" i="2"/>
  <c r="S47" i="2" s="1"/>
  <c r="R49" i="2"/>
  <c r="S49" i="2" s="1"/>
  <c r="R51" i="2"/>
  <c r="S51" i="2" s="1"/>
  <c r="R53" i="2"/>
  <c r="S53" i="2" s="1"/>
  <c r="R55" i="2"/>
  <c r="S55" i="2" s="1"/>
  <c r="P56" i="2"/>
  <c r="P58" i="2"/>
  <c r="R59" i="2"/>
  <c r="S59" i="2" s="1"/>
  <c r="P60" i="2"/>
  <c r="R61" i="2"/>
  <c r="S61" i="2" s="1"/>
  <c r="P62" i="2"/>
  <c r="R63" i="2"/>
  <c r="S63" i="2" s="1"/>
  <c r="P64" i="2"/>
  <c r="R65" i="2"/>
  <c r="S65" i="2" s="1"/>
  <c r="P66" i="2"/>
  <c r="P67" i="2"/>
  <c r="R68" i="2"/>
  <c r="S68" i="2" s="1"/>
  <c r="P69" i="2"/>
  <c r="R70" i="2"/>
  <c r="S70" i="2" s="1"/>
  <c r="P71" i="2"/>
  <c r="R72" i="2"/>
  <c r="S72" i="2" s="1"/>
  <c r="P73" i="2"/>
  <c r="R74" i="2"/>
  <c r="S74" i="2" s="1"/>
  <c r="P75" i="2"/>
  <c r="R76" i="2"/>
  <c r="S76" i="2" s="1"/>
  <c r="R78" i="2"/>
  <c r="S78" i="2" s="1"/>
  <c r="P79" i="2"/>
  <c r="R80" i="2"/>
  <c r="S80" i="2" s="1"/>
  <c r="P81" i="2"/>
  <c r="R82" i="2"/>
  <c r="S82" i="2" s="1"/>
  <c r="W26" i="2"/>
  <c r="R27" i="2"/>
  <c r="S27" i="2" s="1"/>
  <c r="P30" i="2"/>
  <c r="P32" i="2"/>
  <c r="R33" i="2"/>
  <c r="S33" i="2" s="1"/>
  <c r="P36" i="2"/>
  <c r="R37" i="2"/>
  <c r="S37" i="2" s="1"/>
  <c r="R39" i="2"/>
  <c r="S39" i="2" s="1"/>
  <c r="R41" i="2"/>
  <c r="S41" i="2" s="1"/>
  <c r="R43" i="2"/>
  <c r="S43" i="2" s="1"/>
  <c r="P46" i="2"/>
  <c r="P48" i="2"/>
  <c r="P50" i="2"/>
  <c r="P52" i="2"/>
  <c r="P54" i="2"/>
  <c r="R57" i="2"/>
  <c r="S57" i="2" s="1"/>
  <c r="N20" i="10"/>
  <c r="N21" i="10"/>
  <c r="N22" i="10"/>
  <c r="N24" i="10"/>
  <c r="I9" i="18"/>
  <c r="I8" i="18"/>
  <c r="C82" i="3"/>
  <c r="D82" i="3"/>
  <c r="C77" i="3"/>
  <c r="D77" i="3"/>
  <c r="C78" i="3"/>
  <c r="D78" i="3"/>
  <c r="C79" i="3"/>
  <c r="D79" i="3"/>
  <c r="C80" i="3"/>
  <c r="D80" i="3"/>
  <c r="C81" i="3"/>
  <c r="D81" i="3"/>
  <c r="C41" i="3"/>
  <c r="D41" i="3"/>
  <c r="C42" i="3"/>
  <c r="D42" i="3"/>
  <c r="C43" i="3"/>
  <c r="D43" i="3"/>
  <c r="C44" i="3"/>
  <c r="D44" i="3"/>
  <c r="C45" i="3"/>
  <c r="D45" i="3"/>
  <c r="C46" i="3"/>
  <c r="D46" i="3"/>
  <c r="C47" i="3"/>
  <c r="D47" i="3"/>
  <c r="C48" i="3"/>
  <c r="D48" i="3"/>
  <c r="C49" i="3"/>
  <c r="D49" i="3"/>
  <c r="C50" i="3"/>
  <c r="D50" i="3"/>
  <c r="C51" i="3"/>
  <c r="D51" i="3"/>
  <c r="C52" i="3"/>
  <c r="D52" i="3"/>
  <c r="C53" i="3"/>
  <c r="D53" i="3"/>
  <c r="C54" i="3"/>
  <c r="D54" i="3"/>
  <c r="C55" i="3"/>
  <c r="D55" i="3"/>
  <c r="C56" i="3"/>
  <c r="D56" i="3"/>
  <c r="C57" i="3"/>
  <c r="D57" i="3"/>
  <c r="C58" i="3"/>
  <c r="D58" i="3"/>
  <c r="C59" i="3"/>
  <c r="D59" i="3"/>
  <c r="C60" i="3"/>
  <c r="D60" i="3"/>
  <c r="C61" i="3"/>
  <c r="D61" i="3"/>
  <c r="C62" i="3"/>
  <c r="D62" i="3"/>
  <c r="C63" i="3"/>
  <c r="D63" i="3"/>
  <c r="C64" i="3"/>
  <c r="D64" i="3"/>
  <c r="C65" i="3"/>
  <c r="D65" i="3"/>
  <c r="C66" i="3"/>
  <c r="D66" i="3"/>
  <c r="C67" i="3"/>
  <c r="D67" i="3"/>
  <c r="C68" i="3"/>
  <c r="D68" i="3"/>
  <c r="C69" i="3"/>
  <c r="D69" i="3"/>
  <c r="C70" i="3"/>
  <c r="D70" i="3"/>
  <c r="C71" i="3"/>
  <c r="D71" i="3"/>
  <c r="C72" i="3"/>
  <c r="D72" i="3"/>
  <c r="C73" i="3"/>
  <c r="D73" i="3"/>
  <c r="C74" i="3"/>
  <c r="D74" i="3"/>
  <c r="C75" i="3"/>
  <c r="D75" i="3"/>
  <c r="C76" i="3"/>
  <c r="D76" i="3"/>
  <c r="C27" i="3"/>
  <c r="D27" i="3"/>
  <c r="C28" i="3"/>
  <c r="D28" i="3"/>
  <c r="C29" i="3"/>
  <c r="D29" i="3"/>
  <c r="C30" i="3"/>
  <c r="D30" i="3"/>
  <c r="C31" i="3"/>
  <c r="D31" i="3"/>
  <c r="C32" i="3"/>
  <c r="D32" i="3"/>
  <c r="C33" i="3"/>
  <c r="D33" i="3"/>
  <c r="C34" i="3"/>
  <c r="D34" i="3"/>
  <c r="C35" i="3"/>
  <c r="D35" i="3"/>
  <c r="C36" i="3"/>
  <c r="D36" i="3"/>
  <c r="C37" i="3"/>
  <c r="D37" i="3"/>
  <c r="C38" i="3"/>
  <c r="D38" i="3"/>
  <c r="C39" i="3"/>
  <c r="D39" i="3"/>
  <c r="C40" i="3"/>
  <c r="D40" i="3"/>
  <c r="A9" i="21"/>
  <c r="A16" i="21"/>
  <c r="A15" i="21"/>
  <c r="A14" i="21"/>
  <c r="A13" i="21"/>
  <c r="A12" i="21"/>
  <c r="G9" i="21"/>
  <c r="G8" i="21"/>
  <c r="G7" i="21"/>
  <c r="A8" i="21"/>
  <c r="A7" i="21"/>
  <c r="Q50" i="21"/>
  <c r="P50" i="21"/>
  <c r="N50" i="21"/>
  <c r="M50" i="21"/>
  <c r="L50" i="21"/>
  <c r="K50" i="21"/>
  <c r="J50" i="21"/>
  <c r="I50" i="21"/>
  <c r="H50" i="21"/>
  <c r="G50" i="21"/>
  <c r="E50" i="21"/>
  <c r="D50" i="21"/>
  <c r="C50" i="21"/>
  <c r="B24" i="21"/>
  <c r="B48" i="21" s="1"/>
  <c r="B23" i="21"/>
  <c r="B47" i="21" s="1"/>
  <c r="B22" i="21"/>
  <c r="B46" i="21" s="1"/>
  <c r="B21" i="21"/>
  <c r="B45" i="21" s="1"/>
  <c r="B20" i="21"/>
  <c r="B44" i="21" s="1"/>
  <c r="A11" i="21"/>
  <c r="S87" i="4" l="1"/>
  <c r="C77" i="23"/>
  <c r="Z29" i="3"/>
  <c r="AA29" i="3" s="1"/>
  <c r="Z37" i="3"/>
  <c r="AA37" i="3" s="1"/>
  <c r="Z26" i="2"/>
  <c r="Y29" i="3"/>
  <c r="U83" i="2"/>
  <c r="U84" i="2" s="1"/>
  <c r="U85" i="2" s="1"/>
  <c r="Q83" i="3"/>
  <c r="Q84" i="3" s="1"/>
  <c r="Q85" i="3" s="1"/>
  <c r="Z33" i="3"/>
  <c r="AA33" i="3" s="1"/>
  <c r="Z72" i="3"/>
  <c r="AA72" i="3" s="1"/>
  <c r="Z35" i="3"/>
  <c r="AA35" i="3" s="1"/>
  <c r="Z74" i="3"/>
  <c r="AA74" i="3" s="1"/>
  <c r="Z27" i="3"/>
  <c r="Z78" i="3"/>
  <c r="AA78" i="3" s="1"/>
  <c r="Z31" i="3"/>
  <c r="AA31" i="3" s="1"/>
  <c r="Z39" i="3"/>
  <c r="AA39" i="3" s="1"/>
  <c r="Z29" i="2"/>
  <c r="Z76" i="3"/>
  <c r="AA76" i="3" s="1"/>
  <c r="C76" i="23"/>
  <c r="W87" i="4"/>
  <c r="Z31" i="2"/>
  <c r="AA31" i="2" s="1"/>
  <c r="Z70" i="3"/>
  <c r="AA70" i="3" s="1"/>
  <c r="Z77" i="2"/>
  <c r="Y83" i="2"/>
  <c r="Y84" i="2" s="1"/>
  <c r="Y85" i="2" s="1"/>
  <c r="Z80" i="3"/>
  <c r="AA80" i="3" s="1"/>
  <c r="Y87" i="4"/>
  <c r="Z46" i="3"/>
  <c r="AA46" i="3" s="1"/>
  <c r="Z54" i="3"/>
  <c r="AA54" i="3" s="1"/>
  <c r="Z62" i="3"/>
  <c r="AA62" i="3" s="1"/>
  <c r="Z67" i="3"/>
  <c r="AA67" i="3" s="1"/>
  <c r="Z41" i="3"/>
  <c r="AA41" i="3" s="1"/>
  <c r="Z49" i="3"/>
  <c r="AA49" i="3" s="1"/>
  <c r="Z57" i="3"/>
  <c r="AA57" i="3" s="1"/>
  <c r="Z73" i="3"/>
  <c r="AA73" i="3" s="1"/>
  <c r="Z81" i="3"/>
  <c r="AA81" i="3" s="1"/>
  <c r="Z34" i="3"/>
  <c r="AA34" i="3" s="1"/>
  <c r="Z44" i="3"/>
  <c r="AA44" i="3" s="1"/>
  <c r="Z52" i="3"/>
  <c r="AA52" i="3" s="1"/>
  <c r="Z60" i="3"/>
  <c r="AA60" i="3" s="1"/>
  <c r="Z66" i="3"/>
  <c r="AA66" i="3" s="1"/>
  <c r="Z82" i="3"/>
  <c r="AA82" i="3" s="1"/>
  <c r="Z47" i="3"/>
  <c r="AA47" i="3" s="1"/>
  <c r="Z55" i="3"/>
  <c r="AA55" i="3" s="1"/>
  <c r="Z63" i="3"/>
  <c r="AA63" i="3" s="1"/>
  <c r="Z79" i="3"/>
  <c r="AA79" i="3" s="1"/>
  <c r="Z32" i="3"/>
  <c r="AA32" i="3" s="1"/>
  <c r="Z40" i="3"/>
  <c r="AA40" i="3" s="1"/>
  <c r="Z42" i="3"/>
  <c r="AA42" i="3" s="1"/>
  <c r="Z50" i="3"/>
  <c r="AA50" i="3" s="1"/>
  <c r="Z58" i="3"/>
  <c r="AA58" i="3" s="1"/>
  <c r="Z71" i="3"/>
  <c r="AA71" i="3" s="1"/>
  <c r="Z45" i="3"/>
  <c r="AA45" i="3" s="1"/>
  <c r="Z53" i="3"/>
  <c r="AA53" i="3" s="1"/>
  <c r="Z61" i="3"/>
  <c r="AA61" i="3" s="1"/>
  <c r="Z77" i="3"/>
  <c r="AA77" i="3" s="1"/>
  <c r="Z30" i="3"/>
  <c r="AA30" i="3" s="1"/>
  <c r="Z38" i="3"/>
  <c r="AA38" i="3" s="1"/>
  <c r="Z68" i="3"/>
  <c r="AA68" i="3" s="1"/>
  <c r="Z48" i="3"/>
  <c r="AA48" i="3" s="1"/>
  <c r="Z56" i="3"/>
  <c r="AA56" i="3" s="1"/>
  <c r="Z64" i="3"/>
  <c r="AA64" i="3" s="1"/>
  <c r="Z69" i="3"/>
  <c r="AA69" i="3" s="1"/>
  <c r="Z43" i="3"/>
  <c r="AA43" i="3" s="1"/>
  <c r="Z51" i="3"/>
  <c r="AA51" i="3" s="1"/>
  <c r="Z59" i="3"/>
  <c r="AA59" i="3" s="1"/>
  <c r="Z65" i="3"/>
  <c r="AA65" i="3" s="1"/>
  <c r="Z75" i="3"/>
  <c r="AA75" i="3" s="1"/>
  <c r="Z28" i="3"/>
  <c r="AA28" i="3" s="1"/>
  <c r="Z36" i="3"/>
  <c r="AA36" i="3" s="1"/>
  <c r="W83" i="3"/>
  <c r="W84" i="3" s="1"/>
  <c r="W85" i="3" s="1"/>
  <c r="Q54" i="2"/>
  <c r="Z54" i="2"/>
  <c r="Q46" i="2"/>
  <c r="Z46" i="2"/>
  <c r="Q30" i="2"/>
  <c r="Z30" i="2"/>
  <c r="W83" i="2"/>
  <c r="W84" i="2" s="1"/>
  <c r="W85" i="2" s="1"/>
  <c r="Q75" i="2"/>
  <c r="Z75" i="2"/>
  <c r="AA75" i="2" s="1"/>
  <c r="Q71" i="2"/>
  <c r="Z71" i="2"/>
  <c r="AA71" i="2" s="1"/>
  <c r="Q67" i="2"/>
  <c r="Z67" i="2"/>
  <c r="Q62" i="2"/>
  <c r="Z62" i="2"/>
  <c r="Q58" i="2"/>
  <c r="Z58" i="2"/>
  <c r="Q44" i="2"/>
  <c r="Z44" i="2"/>
  <c r="Q28" i="2"/>
  <c r="Z28" i="2"/>
  <c r="Z82" i="2"/>
  <c r="Q78" i="2"/>
  <c r="Z78" i="2"/>
  <c r="AA78" i="2" s="1"/>
  <c r="Q50" i="2"/>
  <c r="Z50" i="2"/>
  <c r="Q48" i="2"/>
  <c r="Z48" i="2"/>
  <c r="Q32" i="2"/>
  <c r="Z32" i="2"/>
  <c r="Q81" i="2"/>
  <c r="Z81" i="2"/>
  <c r="Q38" i="2"/>
  <c r="Z38" i="2"/>
  <c r="Z27" i="2"/>
  <c r="Z63" i="2"/>
  <c r="Z59" i="2"/>
  <c r="Z53" i="2"/>
  <c r="Z47" i="2"/>
  <c r="Z37" i="2"/>
  <c r="Z74" i="2"/>
  <c r="AA74" i="2" s="1"/>
  <c r="Z70" i="2"/>
  <c r="AA70" i="2" s="1"/>
  <c r="Z49" i="2"/>
  <c r="Z43" i="2"/>
  <c r="Z35" i="2"/>
  <c r="Q73" i="2"/>
  <c r="Z73" i="2"/>
  <c r="AA73" i="2" s="1"/>
  <c r="Q69" i="2"/>
  <c r="Z69" i="2"/>
  <c r="Q66" i="2"/>
  <c r="Z66" i="2"/>
  <c r="Q64" i="2"/>
  <c r="Z64" i="2"/>
  <c r="Q60" i="2"/>
  <c r="Z60" i="2"/>
  <c r="Q40" i="2"/>
  <c r="Z40" i="2"/>
  <c r="Q80" i="2"/>
  <c r="Z80" i="2"/>
  <c r="Q52" i="2"/>
  <c r="Z52" i="2"/>
  <c r="Q36" i="2"/>
  <c r="Z36" i="2"/>
  <c r="Q79" i="2"/>
  <c r="Z79" i="2"/>
  <c r="Q56" i="2"/>
  <c r="Z56" i="2"/>
  <c r="Q42" i="2"/>
  <c r="Z42" i="2"/>
  <c r="Q34" i="2"/>
  <c r="Z34" i="2"/>
  <c r="Z61" i="2"/>
  <c r="AA61" i="2" s="1"/>
  <c r="Z57" i="2"/>
  <c r="Z51" i="2"/>
  <c r="AA51" i="2" s="1"/>
  <c r="Z41" i="2"/>
  <c r="AA41" i="2" s="1"/>
  <c r="Z33" i="2"/>
  <c r="Z76" i="2"/>
  <c r="Z72" i="2"/>
  <c r="AA72" i="2" s="1"/>
  <c r="Z68" i="2"/>
  <c r="AA68" i="2" s="1"/>
  <c r="Z65" i="2"/>
  <c r="Z55" i="2"/>
  <c r="Z45" i="2"/>
  <c r="Z39" i="2"/>
  <c r="S83" i="2"/>
  <c r="S84" i="2" s="1"/>
  <c r="S85" i="2" s="1"/>
  <c r="A16" i="16"/>
  <c r="A15" i="16"/>
  <c r="A14" i="16"/>
  <c r="A13" i="16"/>
  <c r="A12" i="16"/>
  <c r="A16" i="14"/>
  <c r="A15" i="14"/>
  <c r="A14" i="14"/>
  <c r="A13" i="14"/>
  <c r="A12" i="14"/>
  <c r="H68" i="14" l="1"/>
  <c r="H29" i="14"/>
  <c r="H35" i="14"/>
  <c r="H67" i="14"/>
  <c r="H45" i="14"/>
  <c r="H44" i="14"/>
  <c r="H57" i="14"/>
  <c r="H76" i="14"/>
  <c r="H38" i="14"/>
  <c r="H69" i="14"/>
  <c r="H78" i="14"/>
  <c r="H34" i="14"/>
  <c r="H46" i="14"/>
  <c r="H28" i="14"/>
  <c r="H60" i="14"/>
  <c r="H72" i="14"/>
  <c r="H61" i="14"/>
  <c r="H75" i="14"/>
  <c r="H53" i="14"/>
  <c r="H56" i="14"/>
  <c r="H79" i="14"/>
  <c r="H73" i="14"/>
  <c r="H25" i="14"/>
  <c r="H74" i="14"/>
  <c r="H42" i="14"/>
  <c r="H39" i="14"/>
  <c r="H77" i="14"/>
  <c r="H48" i="14"/>
  <c r="H47" i="14"/>
  <c r="H65" i="14"/>
  <c r="H59" i="14"/>
  <c r="H27" i="14"/>
  <c r="H70" i="14"/>
  <c r="H64" i="14"/>
  <c r="H30" i="14"/>
  <c r="H33" i="14"/>
  <c r="H31" i="14"/>
  <c r="H55" i="14"/>
  <c r="H71" i="14"/>
  <c r="H32" i="14"/>
  <c r="H37" i="14"/>
  <c r="H40" i="14"/>
  <c r="H66" i="14"/>
  <c r="H36" i="14"/>
  <c r="H54" i="14"/>
  <c r="H43" i="14"/>
  <c r="H58" i="14"/>
  <c r="H51" i="14"/>
  <c r="H62" i="14"/>
  <c r="H49" i="14"/>
  <c r="H52" i="14"/>
  <c r="H80" i="14"/>
  <c r="E54" i="14"/>
  <c r="E64" i="14"/>
  <c r="E32" i="14"/>
  <c r="E36" i="14"/>
  <c r="E67" i="14"/>
  <c r="E80" i="14"/>
  <c r="E79" i="14"/>
  <c r="E30" i="14"/>
  <c r="E43" i="14"/>
  <c r="E42" i="14"/>
  <c r="E47" i="14"/>
  <c r="E46" i="14"/>
  <c r="E59" i="14"/>
  <c r="E58" i="14"/>
  <c r="E65" i="14"/>
  <c r="E35" i="14"/>
  <c r="E39" i="14"/>
  <c r="E29" i="14"/>
  <c r="E48" i="14"/>
  <c r="E49" i="14"/>
  <c r="E52" i="14"/>
  <c r="E62" i="14"/>
  <c r="E72" i="14"/>
  <c r="E71" i="14"/>
  <c r="E76" i="14"/>
  <c r="E75" i="14"/>
  <c r="E25" i="14"/>
  <c r="E28" i="14"/>
  <c r="E68" i="14"/>
  <c r="E33" i="14"/>
  <c r="E37" i="14"/>
  <c r="E70" i="14"/>
  <c r="E50" i="14"/>
  <c r="E31" i="14"/>
  <c r="E27" i="14"/>
  <c r="E41" i="14"/>
  <c r="E78" i="14"/>
  <c r="E61" i="14"/>
  <c r="E63" i="14"/>
  <c r="E26" i="14"/>
  <c r="E66" i="14"/>
  <c r="E44" i="14"/>
  <c r="E40" i="14"/>
  <c r="E77" i="14"/>
  <c r="E74" i="14"/>
  <c r="E57" i="14"/>
  <c r="E53" i="14"/>
  <c r="E38" i="14"/>
  <c r="E60" i="14"/>
  <c r="E56" i="14"/>
  <c r="E73" i="14"/>
  <c r="E69" i="14"/>
  <c r="E55" i="14"/>
  <c r="E51" i="14"/>
  <c r="E34" i="14"/>
  <c r="E45" i="14"/>
  <c r="H63" i="14"/>
  <c r="H41" i="14"/>
  <c r="H26" i="14"/>
  <c r="H50" i="14"/>
  <c r="C77" i="22"/>
  <c r="C76" i="22"/>
  <c r="Q83" i="2"/>
  <c r="Q84" i="2" s="1"/>
  <c r="Q85" i="2" s="1"/>
  <c r="U9" i="3"/>
  <c r="T9" i="14"/>
  <c r="S9" i="16"/>
  <c r="S9" i="19"/>
  <c r="P25" i="14"/>
  <c r="P26" i="14"/>
  <c r="P27" i="14"/>
  <c r="F25" i="20"/>
  <c r="P28" i="14" s="1"/>
  <c r="P29" i="14"/>
  <c r="P30" i="14"/>
  <c r="F28" i="20"/>
  <c r="P31" i="14" s="1"/>
  <c r="F29" i="20"/>
  <c r="P32" i="14" s="1"/>
  <c r="F30" i="20"/>
  <c r="P33" i="14" s="1"/>
  <c r="F31" i="20"/>
  <c r="P34" i="14" s="1"/>
  <c r="F32" i="20"/>
  <c r="P35" i="14" s="1"/>
  <c r="F33" i="20"/>
  <c r="P36" i="14" s="1"/>
  <c r="F34" i="20"/>
  <c r="P37" i="14" s="1"/>
  <c r="F35" i="20"/>
  <c r="P38" i="14" s="1"/>
  <c r="F36" i="20"/>
  <c r="P39" i="14" s="1"/>
  <c r="F37" i="20"/>
  <c r="P40" i="14" s="1"/>
  <c r="F38" i="20"/>
  <c r="P41" i="14" s="1"/>
  <c r="F39" i="20"/>
  <c r="P42" i="14" s="1"/>
  <c r="F40" i="20"/>
  <c r="P43" i="14" s="1"/>
  <c r="F41" i="20"/>
  <c r="P44" i="14" s="1"/>
  <c r="F42" i="20"/>
  <c r="P45" i="14" s="1"/>
  <c r="F43" i="20"/>
  <c r="P46" i="14" s="1"/>
  <c r="F44" i="20"/>
  <c r="P47" i="14" s="1"/>
  <c r="F45" i="20"/>
  <c r="P48" i="14" s="1"/>
  <c r="F46" i="20"/>
  <c r="P49" i="14" s="1"/>
  <c r="F47" i="20"/>
  <c r="P50" i="14" s="1"/>
  <c r="F48" i="20"/>
  <c r="P51" i="14" s="1"/>
  <c r="F49" i="20"/>
  <c r="P52" i="14" s="1"/>
  <c r="F50" i="20"/>
  <c r="P53" i="14" s="1"/>
  <c r="F51" i="20"/>
  <c r="P54" i="14" s="1"/>
  <c r="F52" i="20"/>
  <c r="P55" i="14" s="1"/>
  <c r="F53" i="20"/>
  <c r="P56" i="14" s="1"/>
  <c r="F54" i="20"/>
  <c r="P57" i="14" s="1"/>
  <c r="F55" i="20"/>
  <c r="P58" i="14" s="1"/>
  <c r="F56" i="20"/>
  <c r="P59" i="14" s="1"/>
  <c r="F57" i="20"/>
  <c r="P60" i="14" s="1"/>
  <c r="F58" i="20"/>
  <c r="P61" i="14" s="1"/>
  <c r="F59" i="20"/>
  <c r="P62" i="14" s="1"/>
  <c r="F60" i="20"/>
  <c r="P63" i="14" s="1"/>
  <c r="F61" i="20"/>
  <c r="P64" i="14" s="1"/>
  <c r="F62" i="20"/>
  <c r="P65" i="14" s="1"/>
  <c r="F63" i="20"/>
  <c r="P66" i="14" s="1"/>
  <c r="X26" i="3"/>
  <c r="R26" i="3"/>
  <c r="T25" i="3"/>
  <c r="R25" i="3"/>
  <c r="N29" i="10"/>
  <c r="N30" i="10"/>
  <c r="N28" i="10"/>
  <c r="N27" i="10"/>
  <c r="N26" i="10"/>
  <c r="N26" i="17"/>
  <c r="N27" i="17"/>
  <c r="N28" i="17"/>
  <c r="N29" i="17"/>
  <c r="N30" i="17"/>
  <c r="N20" i="17"/>
  <c r="N21" i="17"/>
  <c r="N23" i="17"/>
  <c r="N24" i="17"/>
  <c r="B21" i="10"/>
  <c r="B22" i="10"/>
  <c r="B23" i="10"/>
  <c r="B24" i="10"/>
  <c r="B20" i="10"/>
  <c r="G9" i="3"/>
  <c r="G9" i="5" s="1"/>
  <c r="B25" i="14"/>
  <c r="C25" i="14"/>
  <c r="B26" i="14"/>
  <c r="C26" i="14"/>
  <c r="B27" i="14"/>
  <c r="C27" i="14"/>
  <c r="B28" i="14"/>
  <c r="C28" i="14"/>
  <c r="B29" i="14"/>
  <c r="C29" i="14"/>
  <c r="B30" i="14"/>
  <c r="C30" i="14"/>
  <c r="B31" i="14"/>
  <c r="C31" i="14"/>
  <c r="B32" i="14"/>
  <c r="C32" i="14"/>
  <c r="B33" i="14"/>
  <c r="C33" i="14"/>
  <c r="B34" i="14"/>
  <c r="C34" i="14"/>
  <c r="B35" i="14"/>
  <c r="C35" i="14"/>
  <c r="B36" i="14"/>
  <c r="C36" i="14"/>
  <c r="B37" i="14"/>
  <c r="C37" i="14"/>
  <c r="B38" i="14"/>
  <c r="C38" i="14"/>
  <c r="B39" i="14"/>
  <c r="C39" i="14"/>
  <c r="B40" i="14"/>
  <c r="C40" i="14"/>
  <c r="B41" i="14"/>
  <c r="C41" i="14"/>
  <c r="B42" i="14"/>
  <c r="C42" i="14"/>
  <c r="B43" i="14"/>
  <c r="C43" i="14"/>
  <c r="B44" i="14"/>
  <c r="C44" i="14"/>
  <c r="B45" i="14"/>
  <c r="C45" i="14"/>
  <c r="B46" i="14"/>
  <c r="C46" i="14"/>
  <c r="B47" i="14"/>
  <c r="C47" i="14"/>
  <c r="B48" i="14"/>
  <c r="C48" i="14"/>
  <c r="B49" i="14"/>
  <c r="C49" i="14"/>
  <c r="B50" i="14"/>
  <c r="C50" i="14"/>
  <c r="B51" i="14"/>
  <c r="C51" i="14"/>
  <c r="B52" i="14"/>
  <c r="C52" i="14"/>
  <c r="B53" i="14"/>
  <c r="C53" i="14"/>
  <c r="B54" i="14"/>
  <c r="C54" i="14"/>
  <c r="B55" i="14"/>
  <c r="C55" i="14"/>
  <c r="B56" i="14"/>
  <c r="C56" i="14"/>
  <c r="B57" i="14"/>
  <c r="C57" i="14"/>
  <c r="B58" i="14"/>
  <c r="C58" i="14"/>
  <c r="B59" i="14"/>
  <c r="C59" i="14"/>
  <c r="B60" i="14"/>
  <c r="C60" i="14"/>
  <c r="B61" i="14"/>
  <c r="C61" i="14"/>
  <c r="B62" i="14"/>
  <c r="C62" i="14"/>
  <c r="C24" i="14"/>
  <c r="B24" i="14"/>
  <c r="C22" i="7"/>
  <c r="D22" i="7"/>
  <c r="C23" i="7"/>
  <c r="D23" i="7"/>
  <c r="C24" i="7"/>
  <c r="D24" i="7"/>
  <c r="C25" i="7"/>
  <c r="D25" i="7"/>
  <c r="C26" i="7"/>
  <c r="D26" i="7"/>
  <c r="C27" i="7"/>
  <c r="D27" i="7"/>
  <c r="C28" i="7"/>
  <c r="D28" i="7"/>
  <c r="C29" i="7"/>
  <c r="D29" i="7"/>
  <c r="C30" i="7"/>
  <c r="D30" i="7"/>
  <c r="C31" i="7"/>
  <c r="D31" i="7"/>
  <c r="C32" i="7"/>
  <c r="D32" i="7"/>
  <c r="C33" i="7"/>
  <c r="D33" i="7"/>
  <c r="C34" i="7"/>
  <c r="D34" i="7"/>
  <c r="C35" i="7"/>
  <c r="D35" i="7"/>
  <c r="C36" i="7"/>
  <c r="D36" i="7"/>
  <c r="C37" i="7"/>
  <c r="D37" i="7"/>
  <c r="C38" i="7"/>
  <c r="D38" i="7"/>
  <c r="C39" i="7"/>
  <c r="D39" i="7"/>
  <c r="C40" i="7"/>
  <c r="D40" i="7"/>
  <c r="C41" i="7"/>
  <c r="D41" i="7"/>
  <c r="C42" i="7"/>
  <c r="D42" i="7"/>
  <c r="C43" i="7"/>
  <c r="D43" i="7"/>
  <c r="C44" i="7"/>
  <c r="D44" i="7"/>
  <c r="C45" i="7"/>
  <c r="D45" i="7"/>
  <c r="C46" i="7"/>
  <c r="D46" i="7"/>
  <c r="C47" i="7"/>
  <c r="D47" i="7"/>
  <c r="C48" i="7"/>
  <c r="D48" i="7"/>
  <c r="C49" i="7"/>
  <c r="D49" i="7"/>
  <c r="C50" i="7"/>
  <c r="D50" i="7"/>
  <c r="C51" i="7"/>
  <c r="D51" i="7"/>
  <c r="C52" i="7"/>
  <c r="D52" i="7"/>
  <c r="C53" i="7"/>
  <c r="D53" i="7"/>
  <c r="C54" i="7"/>
  <c r="D54" i="7"/>
  <c r="C55" i="7"/>
  <c r="D55" i="7"/>
  <c r="C56" i="7"/>
  <c r="D56" i="7"/>
  <c r="C57" i="7"/>
  <c r="D57" i="7"/>
  <c r="C58" i="7"/>
  <c r="D58" i="7"/>
  <c r="C59" i="7"/>
  <c r="D59" i="7"/>
  <c r="D21" i="7"/>
  <c r="C21" i="7"/>
  <c r="D21" i="20"/>
  <c r="C21" i="20"/>
  <c r="B25" i="26"/>
  <c r="C25" i="26"/>
  <c r="B26" i="26"/>
  <c r="C26" i="26"/>
  <c r="B27" i="26"/>
  <c r="C27" i="26"/>
  <c r="B28" i="26"/>
  <c r="C28" i="26"/>
  <c r="B29" i="26"/>
  <c r="C29" i="26"/>
  <c r="B30" i="26"/>
  <c r="C30" i="26"/>
  <c r="B31" i="26"/>
  <c r="C31" i="26"/>
  <c r="B32" i="26"/>
  <c r="C32" i="26"/>
  <c r="B33" i="26"/>
  <c r="C33" i="26"/>
  <c r="B34" i="26"/>
  <c r="C34" i="26"/>
  <c r="B35" i="26"/>
  <c r="C35" i="26"/>
  <c r="B36" i="26"/>
  <c r="C36" i="26"/>
  <c r="B37" i="26"/>
  <c r="C37" i="26"/>
  <c r="B38" i="26"/>
  <c r="C38" i="26"/>
  <c r="B39" i="26"/>
  <c r="C39" i="26"/>
  <c r="B40" i="26"/>
  <c r="C40" i="26"/>
  <c r="B41" i="26"/>
  <c r="C41" i="26"/>
  <c r="B42" i="26"/>
  <c r="C42" i="26"/>
  <c r="B43" i="26"/>
  <c r="C43" i="26"/>
  <c r="B44" i="26"/>
  <c r="C44" i="26"/>
  <c r="B45" i="26"/>
  <c r="C45" i="26"/>
  <c r="B46" i="26"/>
  <c r="C46" i="26"/>
  <c r="B47" i="26"/>
  <c r="C47" i="26"/>
  <c r="B48" i="26"/>
  <c r="C48" i="26"/>
  <c r="B49" i="26"/>
  <c r="C49" i="26"/>
  <c r="B50" i="26"/>
  <c r="C50" i="26"/>
  <c r="B51" i="26"/>
  <c r="C51" i="26"/>
  <c r="B52" i="26"/>
  <c r="C52" i="26"/>
  <c r="B53" i="26"/>
  <c r="C53" i="26"/>
  <c r="B54" i="26"/>
  <c r="C54" i="26"/>
  <c r="B55" i="26"/>
  <c r="C55" i="26"/>
  <c r="B56" i="26"/>
  <c r="C56" i="26"/>
  <c r="B57" i="26"/>
  <c r="C57" i="26"/>
  <c r="B58" i="26"/>
  <c r="C58" i="26"/>
  <c r="B59" i="26"/>
  <c r="C59" i="26"/>
  <c r="B60" i="26"/>
  <c r="C60" i="26"/>
  <c r="B61" i="26"/>
  <c r="C61" i="26"/>
  <c r="B62" i="26"/>
  <c r="C62" i="26"/>
  <c r="B63" i="26"/>
  <c r="C63" i="26"/>
  <c r="B64" i="26"/>
  <c r="C64" i="26"/>
  <c r="B65" i="26"/>
  <c r="C65" i="26"/>
  <c r="B66" i="26"/>
  <c r="C66" i="26"/>
  <c r="C24" i="26"/>
  <c r="B24" i="26"/>
  <c r="C49" i="4"/>
  <c r="D49" i="4"/>
  <c r="C50" i="4"/>
  <c r="D50" i="4"/>
  <c r="C51" i="4"/>
  <c r="D51" i="4"/>
  <c r="C52" i="4"/>
  <c r="D52" i="4"/>
  <c r="C53" i="4"/>
  <c r="D53" i="4"/>
  <c r="C54" i="4"/>
  <c r="D54" i="4"/>
  <c r="C55" i="4"/>
  <c r="D55" i="4"/>
  <c r="C56" i="4"/>
  <c r="D56" i="4"/>
  <c r="C57" i="4"/>
  <c r="D57" i="4"/>
  <c r="C58" i="4"/>
  <c r="D58" i="4"/>
  <c r="C59" i="4"/>
  <c r="D59" i="4"/>
  <c r="C60" i="4"/>
  <c r="D60" i="4"/>
  <c r="C61" i="4"/>
  <c r="D61" i="4"/>
  <c r="C62" i="4"/>
  <c r="D62" i="4"/>
  <c r="C63" i="4"/>
  <c r="D63" i="4"/>
  <c r="C64" i="4"/>
  <c r="D64" i="4"/>
  <c r="C65" i="4"/>
  <c r="D65" i="4"/>
  <c r="C66" i="4"/>
  <c r="D66" i="4"/>
  <c r="C67" i="4"/>
  <c r="D67" i="4"/>
  <c r="C68" i="4"/>
  <c r="D68" i="4"/>
  <c r="C69" i="4"/>
  <c r="D69" i="4"/>
  <c r="C70" i="4"/>
  <c r="D70" i="4"/>
  <c r="C78" i="4"/>
  <c r="D78" i="4"/>
  <c r="C79" i="4"/>
  <c r="D79" i="4"/>
  <c r="C80" i="4"/>
  <c r="D80" i="4"/>
  <c r="C81" i="4"/>
  <c r="D81" i="4"/>
  <c r="C82" i="4"/>
  <c r="D82" i="4"/>
  <c r="C83" i="4"/>
  <c r="D83" i="4"/>
  <c r="C84" i="4"/>
  <c r="D84" i="4"/>
  <c r="C27" i="4"/>
  <c r="D27" i="4"/>
  <c r="C28" i="4"/>
  <c r="D28" i="4"/>
  <c r="C29" i="4"/>
  <c r="D29" i="4"/>
  <c r="C30" i="4"/>
  <c r="D30" i="4"/>
  <c r="C31" i="4"/>
  <c r="D31" i="4"/>
  <c r="C32" i="4"/>
  <c r="D32" i="4"/>
  <c r="C33" i="4"/>
  <c r="D33" i="4"/>
  <c r="C34" i="4"/>
  <c r="D34" i="4"/>
  <c r="C35" i="4"/>
  <c r="D35" i="4"/>
  <c r="C36" i="4"/>
  <c r="D36" i="4"/>
  <c r="C37" i="4"/>
  <c r="D37" i="4"/>
  <c r="C38" i="4"/>
  <c r="D38" i="4"/>
  <c r="C39" i="4"/>
  <c r="D39" i="4"/>
  <c r="C40" i="4"/>
  <c r="D40" i="4"/>
  <c r="C41" i="4"/>
  <c r="D41" i="4"/>
  <c r="C42" i="4"/>
  <c r="D42" i="4"/>
  <c r="C43" i="4"/>
  <c r="D43" i="4"/>
  <c r="C44" i="4"/>
  <c r="D44" i="4"/>
  <c r="C45" i="4"/>
  <c r="D45" i="4"/>
  <c r="C46" i="4"/>
  <c r="D46" i="4"/>
  <c r="C47" i="4"/>
  <c r="D47" i="4"/>
  <c r="C48" i="4"/>
  <c r="D48" i="4"/>
  <c r="D26" i="4"/>
  <c r="C26" i="4"/>
  <c r="D26" i="3"/>
  <c r="C26" i="3"/>
  <c r="A9" i="19"/>
  <c r="O8" i="19"/>
  <c r="K8" i="19"/>
  <c r="G8" i="19"/>
  <c r="A8" i="19"/>
  <c r="A9" i="16"/>
  <c r="O8" i="16"/>
  <c r="K8" i="16"/>
  <c r="G8" i="16"/>
  <c r="A8" i="16"/>
  <c r="A9" i="14"/>
  <c r="P8" i="14"/>
  <c r="K8" i="14"/>
  <c r="G8" i="14"/>
  <c r="A8" i="14"/>
  <c r="A16" i="7"/>
  <c r="A15" i="7"/>
  <c r="A14" i="7"/>
  <c r="A13" i="7"/>
  <c r="A12" i="7"/>
  <c r="A16" i="20"/>
  <c r="A15" i="20"/>
  <c r="A14" i="20"/>
  <c r="A13" i="20"/>
  <c r="A12" i="20"/>
  <c r="A9" i="7"/>
  <c r="O8" i="7"/>
  <c r="K8" i="7"/>
  <c r="G8" i="7"/>
  <c r="A8" i="7"/>
  <c r="A9" i="20"/>
  <c r="O8" i="20"/>
  <c r="K8" i="20"/>
  <c r="G8" i="20"/>
  <c r="A8" i="20"/>
  <c r="A9" i="5"/>
  <c r="A9" i="26" s="1"/>
  <c r="R8" i="5"/>
  <c r="A8" i="5"/>
  <c r="A8" i="26" s="1"/>
  <c r="A13" i="5"/>
  <c r="A14" i="5"/>
  <c r="A15" i="5"/>
  <c r="A16" i="5"/>
  <c r="A12" i="5"/>
  <c r="B13" i="4"/>
  <c r="B14" i="4"/>
  <c r="B15" i="4"/>
  <c r="B16" i="4"/>
  <c r="B12" i="4"/>
  <c r="A12" i="3"/>
  <c r="A13" i="3"/>
  <c r="A14" i="3"/>
  <c r="A15" i="3"/>
  <c r="A16" i="3"/>
  <c r="A12" i="18"/>
  <c r="B20" i="18" s="1"/>
  <c r="A13" i="18"/>
  <c r="B21" i="18" s="1"/>
  <c r="A14" i="18"/>
  <c r="B22" i="18" s="1"/>
  <c r="A15" i="18"/>
  <c r="B23" i="18" s="1"/>
  <c r="A16" i="18"/>
  <c r="B24" i="18" s="1"/>
  <c r="A13" i="17"/>
  <c r="B21" i="17" s="1"/>
  <c r="A14" i="17"/>
  <c r="B22" i="17" s="1"/>
  <c r="A15" i="17"/>
  <c r="B23" i="17" s="1"/>
  <c r="A16" i="17"/>
  <c r="B24" i="17" s="1"/>
  <c r="A12" i="17"/>
  <c r="B20" i="17" s="1"/>
  <c r="J9" i="3"/>
  <c r="F9" i="3"/>
  <c r="O8" i="3"/>
  <c r="K8" i="3"/>
  <c r="G8" i="3"/>
  <c r="O9" i="17"/>
  <c r="M9" i="17"/>
  <c r="M8" i="17"/>
  <c r="I9" i="17"/>
  <c r="I8" i="17"/>
  <c r="U25" i="14"/>
  <c r="U26" i="14"/>
  <c r="U27" i="14"/>
  <c r="U28" i="14"/>
  <c r="U29" i="14"/>
  <c r="U30" i="14"/>
  <c r="U31" i="14"/>
  <c r="U32" i="14"/>
  <c r="U33" i="14"/>
  <c r="U34" i="14"/>
  <c r="U35" i="14"/>
  <c r="U36" i="14"/>
  <c r="U37" i="14"/>
  <c r="U38" i="14"/>
  <c r="U39" i="14"/>
  <c r="U40" i="14"/>
  <c r="U41" i="14"/>
  <c r="U42" i="14"/>
  <c r="U43" i="14"/>
  <c r="U44" i="14"/>
  <c r="U45" i="14"/>
  <c r="U46" i="14"/>
  <c r="U47" i="14"/>
  <c r="U48" i="14"/>
  <c r="U49" i="14"/>
  <c r="U50" i="14"/>
  <c r="U51" i="14"/>
  <c r="U52" i="14"/>
  <c r="U53" i="14"/>
  <c r="U54" i="14"/>
  <c r="U55" i="14"/>
  <c r="U56" i="14"/>
  <c r="U57" i="14"/>
  <c r="U58" i="14"/>
  <c r="U59" i="14"/>
  <c r="U60" i="14"/>
  <c r="U61" i="14"/>
  <c r="U62" i="14"/>
  <c r="U63" i="14"/>
  <c r="U64" i="14"/>
  <c r="U65" i="14"/>
  <c r="U66" i="14"/>
  <c r="T25" i="14"/>
  <c r="T26" i="14"/>
  <c r="T27" i="14"/>
  <c r="T28" i="14"/>
  <c r="T29" i="14"/>
  <c r="T30" i="14"/>
  <c r="T31" i="14"/>
  <c r="T32" i="14"/>
  <c r="T33" i="14"/>
  <c r="T34" i="14"/>
  <c r="T35" i="14"/>
  <c r="T36" i="14"/>
  <c r="T37" i="14"/>
  <c r="T38" i="14"/>
  <c r="T39" i="14"/>
  <c r="T40" i="14"/>
  <c r="T41" i="14"/>
  <c r="T42" i="14"/>
  <c r="T43" i="14"/>
  <c r="T44" i="14"/>
  <c r="T45" i="14"/>
  <c r="T46" i="14"/>
  <c r="T47" i="14"/>
  <c r="T48" i="14"/>
  <c r="T49" i="14"/>
  <c r="T50" i="14"/>
  <c r="T51" i="14"/>
  <c r="T52" i="14"/>
  <c r="T53" i="14"/>
  <c r="T54" i="14"/>
  <c r="T55" i="14"/>
  <c r="T56" i="14"/>
  <c r="T57" i="14"/>
  <c r="T58" i="14"/>
  <c r="T59" i="14"/>
  <c r="T60" i="14"/>
  <c r="T61" i="14"/>
  <c r="T62" i="14"/>
  <c r="T63" i="14"/>
  <c r="T64" i="14"/>
  <c r="T65" i="14"/>
  <c r="T66" i="14"/>
  <c r="S25" i="14"/>
  <c r="S26" i="14"/>
  <c r="S27" i="14"/>
  <c r="S28" i="14"/>
  <c r="S29" i="14"/>
  <c r="S30" i="14"/>
  <c r="S31" i="14"/>
  <c r="S32" i="14"/>
  <c r="S33" i="14"/>
  <c r="S34" i="14"/>
  <c r="S35" i="14"/>
  <c r="S36" i="14"/>
  <c r="S37" i="14"/>
  <c r="S38" i="14"/>
  <c r="S39" i="14"/>
  <c r="S40" i="14"/>
  <c r="S41" i="14"/>
  <c r="S42" i="14"/>
  <c r="S43" i="14"/>
  <c r="S44" i="14"/>
  <c r="S45" i="14"/>
  <c r="S46" i="14"/>
  <c r="S47" i="14"/>
  <c r="S48" i="14"/>
  <c r="S49" i="14"/>
  <c r="S50" i="14"/>
  <c r="S51" i="14"/>
  <c r="S52" i="14"/>
  <c r="S53" i="14"/>
  <c r="S54" i="14"/>
  <c r="S55" i="14"/>
  <c r="S56" i="14"/>
  <c r="S57" i="14"/>
  <c r="S58" i="14"/>
  <c r="S59" i="14"/>
  <c r="S60" i="14"/>
  <c r="S61" i="14"/>
  <c r="S62" i="14"/>
  <c r="S63" i="14"/>
  <c r="S64" i="14"/>
  <c r="S65" i="14"/>
  <c r="S66"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R52" i="14"/>
  <c r="R53" i="14"/>
  <c r="R54" i="14"/>
  <c r="R55" i="14"/>
  <c r="R56" i="14"/>
  <c r="R57" i="14"/>
  <c r="R58" i="14"/>
  <c r="R59" i="14"/>
  <c r="R60" i="14"/>
  <c r="R61" i="14"/>
  <c r="R62" i="14"/>
  <c r="R63" i="14"/>
  <c r="R64" i="14"/>
  <c r="R65" i="14"/>
  <c r="R66"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G78" i="7"/>
  <c r="G79" i="7" s="1"/>
  <c r="F78" i="7"/>
  <c r="F79" i="7" s="1"/>
  <c r="I78" i="7"/>
  <c r="I79" i="7" s="1"/>
  <c r="H78" i="7"/>
  <c r="E78" i="7"/>
  <c r="E79" i="7" s="1"/>
  <c r="S26" i="3" l="1"/>
  <c r="C23" i="21"/>
  <c r="U35" i="3"/>
  <c r="U78" i="3"/>
  <c r="U76" i="3"/>
  <c r="U33" i="3"/>
  <c r="U27" i="3"/>
  <c r="U80" i="3"/>
  <c r="U39" i="3"/>
  <c r="U29" i="3"/>
  <c r="U70" i="3"/>
  <c r="U37" i="3"/>
  <c r="U31" i="3"/>
  <c r="U74" i="3"/>
  <c r="U26" i="3"/>
  <c r="U72" i="3"/>
  <c r="U56" i="3"/>
  <c r="U69" i="3"/>
  <c r="U51" i="3"/>
  <c r="U28" i="3"/>
  <c r="U54" i="3"/>
  <c r="U67" i="3"/>
  <c r="U49" i="3"/>
  <c r="U81" i="3"/>
  <c r="U52" i="3"/>
  <c r="U66" i="3"/>
  <c r="U47" i="3"/>
  <c r="U63" i="3"/>
  <c r="U32" i="3"/>
  <c r="U42" i="3"/>
  <c r="U58" i="3"/>
  <c r="U71" i="3"/>
  <c r="U53" i="3"/>
  <c r="U30" i="3"/>
  <c r="U68" i="3"/>
  <c r="U64" i="3"/>
  <c r="U43" i="3"/>
  <c r="U75" i="3"/>
  <c r="U36" i="3"/>
  <c r="U48" i="3"/>
  <c r="U59" i="3"/>
  <c r="U46" i="3"/>
  <c r="U62" i="3"/>
  <c r="U41" i="3"/>
  <c r="U57" i="3"/>
  <c r="U73" i="3"/>
  <c r="U34" i="3"/>
  <c r="U44" i="3"/>
  <c r="U60" i="3"/>
  <c r="U82" i="3"/>
  <c r="U55" i="3"/>
  <c r="U79" i="3"/>
  <c r="U40" i="3"/>
  <c r="U50" i="3"/>
  <c r="U45" i="3"/>
  <c r="U61" i="3"/>
  <c r="U77" i="3"/>
  <c r="U38" i="3"/>
  <c r="U65" i="3"/>
  <c r="S79" i="3"/>
  <c r="S71" i="3"/>
  <c r="S58" i="3"/>
  <c r="S50" i="3"/>
  <c r="S42" i="3"/>
  <c r="S34" i="3"/>
  <c r="S81" i="3"/>
  <c r="S73" i="3"/>
  <c r="S66" i="3"/>
  <c r="S60" i="3"/>
  <c r="S52" i="3"/>
  <c r="S44" i="3"/>
  <c r="S36" i="3"/>
  <c r="S28" i="3"/>
  <c r="S78" i="3"/>
  <c r="S70" i="3"/>
  <c r="S57" i="3"/>
  <c r="S49" i="3"/>
  <c r="S41" i="3"/>
  <c r="S33" i="3"/>
  <c r="S76" i="3"/>
  <c r="S68" i="3"/>
  <c r="S63" i="3"/>
  <c r="S55" i="3"/>
  <c r="S47" i="3"/>
  <c r="S39" i="3"/>
  <c r="S31" i="3"/>
  <c r="S75" i="3"/>
  <c r="S67" i="3"/>
  <c r="S62" i="3"/>
  <c r="S54" i="3"/>
  <c r="S46" i="3"/>
  <c r="S38" i="3"/>
  <c r="S30" i="3"/>
  <c r="S77" i="3"/>
  <c r="S69" i="3"/>
  <c r="S64" i="3"/>
  <c r="S56" i="3"/>
  <c r="S48" i="3"/>
  <c r="S40" i="3"/>
  <c r="S32" i="3"/>
  <c r="S82" i="3"/>
  <c r="S74" i="3"/>
  <c r="S61" i="3"/>
  <c r="S53" i="3"/>
  <c r="S45" i="3"/>
  <c r="S37" i="3"/>
  <c r="S29" i="3"/>
  <c r="S80" i="3"/>
  <c r="S72" i="3"/>
  <c r="S65" i="3"/>
  <c r="S59" i="3"/>
  <c r="S51" i="3"/>
  <c r="S43" i="3"/>
  <c r="S35" i="3"/>
  <c r="S27" i="3"/>
  <c r="Y26" i="3"/>
  <c r="Z26" i="3"/>
  <c r="E24" i="14"/>
  <c r="AA69" i="2"/>
  <c r="H79" i="7"/>
  <c r="F59" i="14" l="1"/>
  <c r="S83" i="3"/>
  <c r="S84" i="3" s="1"/>
  <c r="S85" i="3" s="1"/>
  <c r="U83" i="3"/>
  <c r="U84" i="3" s="1"/>
  <c r="U85" i="3" s="1"/>
  <c r="Y83" i="3"/>
  <c r="Y84" i="3" s="1"/>
  <c r="Y85" i="3" s="1"/>
  <c r="AA28" i="4"/>
  <c r="AA30" i="4"/>
  <c r="AA31" i="4"/>
  <c r="AA34" i="4"/>
  <c r="AA35" i="4"/>
  <c r="AA36" i="4"/>
  <c r="AA37" i="4"/>
  <c r="AA40" i="4"/>
  <c r="AA42" i="4"/>
  <c r="AA43" i="4"/>
  <c r="AA44" i="4"/>
  <c r="AA46" i="4"/>
  <c r="AA47" i="4"/>
  <c r="AA48" i="4"/>
  <c r="AA50" i="4"/>
  <c r="AA51" i="4"/>
  <c r="AA53" i="4"/>
  <c r="AA54" i="4"/>
  <c r="AA55" i="4"/>
  <c r="AA56" i="4"/>
  <c r="AA58" i="4"/>
  <c r="AA59" i="4"/>
  <c r="AA60" i="4"/>
  <c r="AA61" i="4"/>
  <c r="AA27" i="3"/>
  <c r="AA27" i="2"/>
  <c r="AA28" i="2"/>
  <c r="AA29" i="2"/>
  <c r="AA32" i="2"/>
  <c r="AA33" i="2"/>
  <c r="AA34" i="2"/>
  <c r="AA35" i="2"/>
  <c r="AA36" i="2"/>
  <c r="AA37" i="2"/>
  <c r="AA38" i="2"/>
  <c r="AA39" i="2"/>
  <c r="AA40" i="2"/>
  <c r="AA42" i="2"/>
  <c r="AA43" i="2"/>
  <c r="AA44" i="2"/>
  <c r="AA45" i="2"/>
  <c r="AA47" i="2"/>
  <c r="AA49" i="2"/>
  <c r="AA50" i="2"/>
  <c r="AA53" i="2"/>
  <c r="AA54" i="2"/>
  <c r="AA55" i="2"/>
  <c r="AA56" i="2"/>
  <c r="AA57" i="2"/>
  <c r="AA58" i="2"/>
  <c r="AA59" i="2"/>
  <c r="AA60" i="2"/>
  <c r="AA63" i="2"/>
  <c r="AA64" i="2"/>
  <c r="AA65" i="2"/>
  <c r="AA66" i="2"/>
  <c r="AA67" i="2"/>
  <c r="AA76" i="2"/>
  <c r="AA80" i="2"/>
  <c r="AA30" i="2"/>
  <c r="F77" i="14" l="1"/>
  <c r="F71" i="14"/>
  <c r="F68" i="14"/>
  <c r="F61" i="14"/>
  <c r="F60" i="14"/>
  <c r="F54" i="14"/>
  <c r="F51" i="14"/>
  <c r="F49" i="14"/>
  <c r="F75" i="14"/>
  <c r="F43" i="14"/>
  <c r="F44" i="14"/>
  <c r="F47" i="14"/>
  <c r="F27" i="14"/>
  <c r="F48" i="14"/>
  <c r="F42" i="14"/>
  <c r="F39" i="14"/>
  <c r="F29" i="14"/>
  <c r="F28" i="14"/>
  <c r="F80" i="14"/>
  <c r="F78" i="14"/>
  <c r="F46" i="14"/>
  <c r="F41" i="14"/>
  <c r="F58" i="14"/>
  <c r="F45" i="14"/>
  <c r="F67" i="14"/>
  <c r="F63" i="14"/>
  <c r="F50" i="14"/>
  <c r="F37" i="14"/>
  <c r="F30" i="14"/>
  <c r="F25" i="14"/>
  <c r="F69" i="14"/>
  <c r="F64" i="14"/>
  <c r="F53" i="14"/>
  <c r="F72" i="14"/>
  <c r="F32" i="14"/>
  <c r="F74" i="14"/>
  <c r="F38" i="14"/>
  <c r="F33" i="14"/>
  <c r="F79" i="14"/>
  <c r="F66" i="14"/>
  <c r="F62" i="14"/>
  <c r="F57" i="14"/>
  <c r="F55" i="14"/>
  <c r="F56" i="14"/>
  <c r="F36" i="14"/>
  <c r="F40" i="14"/>
  <c r="F34" i="14"/>
  <c r="F31" i="14"/>
  <c r="F52" i="14"/>
  <c r="F70" i="14"/>
  <c r="F26" i="14"/>
  <c r="F73" i="14"/>
  <c r="F35" i="14"/>
  <c r="F76" i="14"/>
  <c r="F65" i="14"/>
  <c r="AA57" i="4"/>
  <c r="AA41" i="4"/>
  <c r="AA39" i="4"/>
  <c r="AA45" i="4"/>
  <c r="AA52" i="4"/>
  <c r="AA27" i="4"/>
  <c r="AA32" i="4"/>
  <c r="AA49" i="4"/>
  <c r="AA62" i="4"/>
  <c r="AA38" i="4"/>
  <c r="AA29" i="4"/>
  <c r="AA65" i="4"/>
  <c r="AA69" i="4"/>
  <c r="AA80" i="4"/>
  <c r="AA84" i="4"/>
  <c r="AA68" i="4"/>
  <c r="AA79" i="4"/>
  <c r="AA83" i="4"/>
  <c r="AA64" i="4"/>
  <c r="AA67" i="4"/>
  <c r="AA78" i="4"/>
  <c r="AA82" i="4"/>
  <c r="AA63" i="4"/>
  <c r="AA66" i="4"/>
  <c r="AA70" i="4"/>
  <c r="AA81" i="4"/>
  <c r="AA33" i="4"/>
  <c r="AA79" i="2"/>
  <c r="AA62" i="2"/>
  <c r="AA52" i="2"/>
  <c r="AA77" i="2"/>
  <c r="AA46" i="2"/>
  <c r="AA48" i="2"/>
  <c r="AA82" i="2"/>
  <c r="AA81" i="2"/>
  <c r="I44" i="14" l="1"/>
  <c r="I53" i="14"/>
  <c r="I75" i="14"/>
  <c r="I27" i="14"/>
  <c r="I40" i="14"/>
  <c r="I69" i="14"/>
  <c r="I55" i="14"/>
  <c r="I58" i="14"/>
  <c r="I32" i="14"/>
  <c r="I78" i="14"/>
  <c r="I76" i="14"/>
  <c r="I63" i="14"/>
  <c r="I25" i="14"/>
  <c r="I80" i="14"/>
  <c r="I43" i="14"/>
  <c r="I72" i="14"/>
  <c r="I39" i="14"/>
  <c r="I45" i="14"/>
  <c r="I47" i="14"/>
  <c r="I54" i="14"/>
  <c r="I61" i="14"/>
  <c r="I26" i="14"/>
  <c r="I48" i="14"/>
  <c r="I77" i="14"/>
  <c r="I64" i="14"/>
  <c r="I49" i="14"/>
  <c r="I29" i="14"/>
  <c r="I34" i="14"/>
  <c r="I73" i="14"/>
  <c r="I65" i="14"/>
  <c r="I51" i="14"/>
  <c r="I33" i="14"/>
  <c r="I74" i="14"/>
  <c r="I66" i="14"/>
  <c r="I35" i="14"/>
  <c r="I31" i="14"/>
  <c r="I60" i="14"/>
  <c r="I56" i="14"/>
  <c r="I30" i="14"/>
  <c r="I42" i="14"/>
  <c r="I41" i="14"/>
  <c r="I50" i="14"/>
  <c r="I70" i="14"/>
  <c r="I68" i="14"/>
  <c r="I46" i="14"/>
  <c r="I28" i="14"/>
  <c r="I59" i="14"/>
  <c r="I67" i="14"/>
  <c r="I38" i="14"/>
  <c r="I57" i="14"/>
  <c r="I52" i="14"/>
  <c r="I62" i="14"/>
  <c r="I36" i="14"/>
  <c r="I71" i="14"/>
  <c r="I37" i="14"/>
  <c r="I79" i="14"/>
  <c r="G63" i="14"/>
  <c r="G39" i="14"/>
  <c r="G30" i="14"/>
  <c r="G25" i="14"/>
  <c r="G36" i="14"/>
  <c r="G60" i="14"/>
  <c r="G61" i="14"/>
  <c r="G75" i="14"/>
  <c r="G44" i="14"/>
  <c r="G28" i="14"/>
  <c r="G26" i="14"/>
  <c r="G74" i="14"/>
  <c r="G67" i="14"/>
  <c r="G53" i="14"/>
  <c r="G40" i="14"/>
  <c r="G42" i="14"/>
  <c r="G62" i="14"/>
  <c r="G65" i="14"/>
  <c r="G32" i="14"/>
  <c r="G66" i="14"/>
  <c r="G52" i="14"/>
  <c r="G31" i="14"/>
  <c r="G48" i="14"/>
  <c r="G71" i="14"/>
  <c r="G73" i="14"/>
  <c r="G56" i="14"/>
  <c r="G37" i="14"/>
  <c r="G43" i="14"/>
  <c r="G46" i="14"/>
  <c r="G50" i="14"/>
  <c r="G68" i="14"/>
  <c r="G34" i="14"/>
  <c r="G79" i="14"/>
  <c r="G27" i="14"/>
  <c r="G59" i="14"/>
  <c r="G58" i="14"/>
  <c r="G57" i="14"/>
  <c r="G64" i="14"/>
  <c r="G49" i="14"/>
  <c r="G35" i="14"/>
  <c r="G76" i="14"/>
  <c r="G72" i="14"/>
  <c r="G80" i="14"/>
  <c r="G45" i="14"/>
  <c r="G29" i="14"/>
  <c r="G77" i="14"/>
  <c r="G51" i="14"/>
  <c r="G33" i="14"/>
  <c r="G69" i="14"/>
  <c r="G54" i="14"/>
  <c r="G38" i="14"/>
  <c r="G55" i="14"/>
  <c r="G41" i="14"/>
  <c r="G47" i="14"/>
  <c r="G70" i="14"/>
  <c r="G78" i="14"/>
  <c r="P24" i="14"/>
  <c r="S81" i="14"/>
  <c r="T81" i="14"/>
  <c r="R81" i="14"/>
  <c r="R24" i="14"/>
  <c r="S24" i="14"/>
  <c r="T24" i="14"/>
  <c r="U24" i="14"/>
  <c r="Q24" i="14"/>
  <c r="R82" i="14"/>
  <c r="U81" i="14"/>
  <c r="U82" i="14"/>
  <c r="N22" i="17"/>
  <c r="N25" i="17"/>
  <c r="AA25" i="4"/>
  <c r="AA25" i="3"/>
  <c r="N25" i="10"/>
  <c r="AA26" i="4"/>
  <c r="AA85" i="4" s="1"/>
  <c r="AA86" i="4" s="1"/>
  <c r="AA87" i="4" s="1"/>
  <c r="AA26" i="3"/>
  <c r="AA25" i="2"/>
  <c r="AA26" i="2"/>
  <c r="C24" i="21" l="1"/>
  <c r="C21" i="21"/>
  <c r="S82" i="14"/>
  <c r="F80" i="7"/>
  <c r="I80" i="7"/>
  <c r="T82" i="14"/>
  <c r="Q81" i="14"/>
  <c r="Q82" i="14"/>
  <c r="E80" i="7"/>
  <c r="G24" i="14" l="1"/>
  <c r="C22" i="21"/>
  <c r="R83" i="14"/>
  <c r="F21" i="21"/>
  <c r="Q83" i="14"/>
  <c r="F20" i="21"/>
  <c r="U83" i="14"/>
  <c r="F24" i="21"/>
  <c r="P81" i="14"/>
  <c r="F79" i="20"/>
  <c r="H80" i="7"/>
  <c r="G80" i="7"/>
  <c r="H24" i="14"/>
  <c r="F24" i="14"/>
  <c r="F80" i="20" l="1"/>
  <c r="E20" i="21" s="1"/>
  <c r="C20" i="21"/>
  <c r="G81" i="14"/>
  <c r="D25" i="21"/>
  <c r="D28" i="21" s="1"/>
  <c r="T83" i="14"/>
  <c r="F23" i="21"/>
  <c r="S83" i="14"/>
  <c r="F22" i="21"/>
  <c r="P82" i="14"/>
  <c r="E81" i="14"/>
  <c r="I24" i="14"/>
  <c r="F81" i="14"/>
  <c r="F82" i="14"/>
  <c r="G82" i="14"/>
  <c r="G83" i="14"/>
  <c r="C25" i="21" l="1"/>
  <c r="D27" i="21" s="1"/>
  <c r="G20" i="21"/>
  <c r="I12" i="16" s="1"/>
  <c r="E25" i="21"/>
  <c r="G24" i="21"/>
  <c r="I16" i="16" s="1"/>
  <c r="G21" i="21"/>
  <c r="I13" i="16" s="1"/>
  <c r="P83" i="14"/>
  <c r="G22" i="21"/>
  <c r="I14" i="16" s="1"/>
  <c r="G23" i="21"/>
  <c r="I15" i="16" s="1"/>
  <c r="F83" i="14"/>
  <c r="E82" i="14"/>
  <c r="E83" i="14"/>
  <c r="F25" i="21"/>
  <c r="H81" i="14"/>
  <c r="I81" i="14"/>
  <c r="H82" i="14"/>
  <c r="H83" i="14"/>
  <c r="G27" i="21" l="1"/>
  <c r="C32" i="21"/>
  <c r="D29" i="21"/>
  <c r="C31" i="21" s="1"/>
  <c r="G32" i="21"/>
  <c r="G25" i="21"/>
  <c r="I17" i="16" s="1"/>
  <c r="I82" i="14"/>
  <c r="I83" i="14"/>
  <c r="C33" i="21" l="1"/>
  <c r="G31" i="21" s="1"/>
  <c r="G33" i="21" s="1"/>
  <c r="I51" i="21" l="1"/>
  <c r="R19" i="16" s="1"/>
  <c r="E21" i="19" s="1"/>
  <c r="H51" i="21"/>
  <c r="Q19" i="16" s="1"/>
  <c r="E20" i="19" s="1"/>
  <c r="C51" i="21"/>
  <c r="L19" i="16" s="1"/>
  <c r="E15" i="19" s="1"/>
  <c r="F51" i="21"/>
  <c r="O19" i="16" s="1"/>
  <c r="E18" i="19" s="1"/>
  <c r="M51" i="21"/>
  <c r="V19" i="16" s="1"/>
  <c r="E25" i="19" s="1"/>
  <c r="N51" i="21"/>
  <c r="W19" i="16" s="1"/>
  <c r="E26" i="19" s="1"/>
  <c r="E51" i="21"/>
  <c r="N19" i="16" s="1"/>
  <c r="E17" i="19" s="1"/>
  <c r="D51" i="21"/>
  <c r="M19" i="16" s="1"/>
  <c r="E16" i="19" s="1"/>
  <c r="K51" i="21"/>
  <c r="T19" i="16" s="1"/>
  <c r="E23" i="19" s="1"/>
  <c r="Q51" i="21"/>
  <c r="Z19" i="16" s="1"/>
  <c r="O51" i="21"/>
  <c r="X19" i="16" s="1"/>
  <c r="E27" i="19" s="1"/>
  <c r="J51" i="21"/>
  <c r="S19" i="16" s="1"/>
  <c r="E22" i="19" s="1"/>
  <c r="P51" i="21"/>
  <c r="Y19" i="16" s="1"/>
  <c r="L51" i="21"/>
  <c r="U19" i="16" s="1"/>
  <c r="E24" i="19" s="1"/>
  <c r="G51" i="21"/>
  <c r="P19" i="16" s="1"/>
  <c r="E19" i="19" s="1"/>
  <c r="E31" i="19" l="1"/>
  <c r="E30" i="19"/>
  <c r="N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20" authorId="0" shapeId="0" xr:uid="{00000000-0006-0000-0000-000001000000}">
      <text>
        <r>
          <rPr>
            <b/>
            <sz val="9"/>
            <color indexed="81"/>
            <rFont val="Tahoma"/>
            <family val="2"/>
          </rPr>
          <t>Administrator:</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20" authorId="0" shapeId="0" xr:uid="{00000000-0006-0000-0100-000001000000}">
      <text>
        <r>
          <rPr>
            <b/>
            <sz val="9"/>
            <color indexed="81"/>
            <rFont val="Tahoma"/>
            <family val="2"/>
          </rPr>
          <t>Administrator:</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20" authorId="0" shapeId="0" xr:uid="{00000000-0006-0000-0200-000001000000}">
      <text>
        <r>
          <rPr>
            <b/>
            <sz val="9"/>
            <color indexed="81"/>
            <rFont val="Tahoma"/>
            <family val="2"/>
          </rPr>
          <t>Administrator:</t>
        </r>
        <r>
          <rPr>
            <sz val="9"/>
            <color indexed="81"/>
            <rFont val="Tahoma"/>
            <family val="2"/>
          </rPr>
          <t xml:space="preserve">
</t>
        </r>
      </text>
    </comment>
  </commentList>
</comments>
</file>

<file path=xl/sharedStrings.xml><?xml version="1.0" encoding="utf-8"?>
<sst xmlns="http://schemas.openxmlformats.org/spreadsheetml/2006/main" count="872" uniqueCount="332">
  <si>
    <t>JAYARAJ ANNAPACKIAM C. S. I. COLLEGE OF ENGINEERING</t>
  </si>
  <si>
    <t>(Approved by AICTE, New Delhi and Affiliated to Anna University)</t>
  </si>
  <si>
    <t>MARGOSCHIS NAGAR, NAZARETH - 628 617</t>
  </si>
  <si>
    <t>DEPARTMENT OF ELECTRONICS AND COMMUNICATION ENGINEERING</t>
  </si>
  <si>
    <t xml:space="preserve"> INTERNAL ASSESSMENT TEST - I </t>
  </si>
  <si>
    <t>CO ATTAINMENT</t>
  </si>
  <si>
    <t>S. No</t>
  </si>
  <si>
    <t>Reg. No.</t>
  </si>
  <si>
    <t>Name of the Student</t>
  </si>
  <si>
    <t>COURSE OUTCOMES:</t>
  </si>
  <si>
    <t>Attainment Level</t>
  </si>
  <si>
    <t>Description</t>
  </si>
  <si>
    <t>60% and above students scoring more than 60% marks in the relevant CO</t>
  </si>
  <si>
    <t>Slight (1)</t>
  </si>
  <si>
    <t>70% and above students scoring more than 60% marks in the relevant CO</t>
  </si>
  <si>
    <t>Moderate (2)</t>
  </si>
  <si>
    <t>80% and above students scoring more than 60% marks in the relevant CO</t>
  </si>
  <si>
    <t>Substantial (3)</t>
  </si>
  <si>
    <t>Part A</t>
  </si>
  <si>
    <t>Part B</t>
  </si>
  <si>
    <t>BLOOMS LEVEL:</t>
  </si>
  <si>
    <t>L1: REMEMBER</t>
  </si>
  <si>
    <t>L4: ANALYSE</t>
  </si>
  <si>
    <t>L6: CREATE</t>
  </si>
  <si>
    <t>L2: UNDERSTAND</t>
  </si>
  <si>
    <t>L5: EVALUATE</t>
  </si>
  <si>
    <t>L3: APPLY</t>
  </si>
  <si>
    <t>IAT-I</t>
  </si>
  <si>
    <t>CO</t>
  </si>
  <si>
    <t>BL</t>
  </si>
  <si>
    <t>MARK</t>
  </si>
  <si>
    <t>TOTAL MARK</t>
  </si>
  <si>
    <t>Correlation Level</t>
  </si>
  <si>
    <t xml:space="preserve"> INTERNAL ASSESSMENT TEST - II </t>
  </si>
  <si>
    <t>IAT-II</t>
  </si>
  <si>
    <t>IAT-III</t>
  </si>
  <si>
    <t xml:space="preserve"> INTERNAL ASSESSMENT TEST - REPORT</t>
  </si>
  <si>
    <t>TEST</t>
  </si>
  <si>
    <t>TOTAL IAT ATTAINMENT</t>
  </si>
  <si>
    <t>Correlation Level Achieved</t>
  </si>
  <si>
    <t>DATE:</t>
  </si>
  <si>
    <t>B</t>
  </si>
  <si>
    <t>A</t>
  </si>
  <si>
    <t>O</t>
  </si>
  <si>
    <t>B+</t>
  </si>
  <si>
    <t>A+</t>
  </si>
  <si>
    <t>RA</t>
  </si>
  <si>
    <t>Test</t>
  </si>
  <si>
    <t>PO and PSO Attainment using CO Attainment</t>
  </si>
  <si>
    <t>Mapping of PO &amp; PSO with CO</t>
  </si>
  <si>
    <t>PO</t>
  </si>
  <si>
    <t>PSO</t>
  </si>
  <si>
    <t>PO1</t>
  </si>
  <si>
    <t>PO2</t>
  </si>
  <si>
    <t>PO3</t>
  </si>
  <si>
    <t>PO4</t>
  </si>
  <si>
    <t>PO5</t>
  </si>
  <si>
    <t>PO11</t>
  </si>
  <si>
    <t>PO12</t>
  </si>
  <si>
    <t>PSO1</t>
  </si>
  <si>
    <t>PSO2</t>
  </si>
  <si>
    <t>Average</t>
  </si>
  <si>
    <t>PO6</t>
  </si>
  <si>
    <t>PO7</t>
  </si>
  <si>
    <t>PO8</t>
  </si>
  <si>
    <t>PO9</t>
  </si>
  <si>
    <t>PO10</t>
  </si>
  <si>
    <t>Attainment
Level</t>
  </si>
  <si>
    <t xml:space="preserve"> </t>
  </si>
  <si>
    <t>FORM NO.: F02</t>
  </si>
  <si>
    <t>QUESTION PAPER CO / BT MAPPING</t>
  </si>
  <si>
    <t>CO SEM / SUB / .NO</t>
  </si>
  <si>
    <t>PART - A (5 X 2 = 10)</t>
  </si>
  <si>
    <t>TOTAL 
%</t>
  </si>
  <si>
    <t>COURSE OUTCOMES</t>
  </si>
  <si>
    <t xml:space="preserve">   BLOOM'S TAXONOMY</t>
  </si>
  <si>
    <t>REMEMBER</t>
  </si>
  <si>
    <t>UNDERSTAND</t>
  </si>
  <si>
    <t>APPLY</t>
  </si>
  <si>
    <t>ANALYZE</t>
  </si>
  <si>
    <t>EVALUATE</t>
  </si>
  <si>
    <t>CREATE</t>
  </si>
  <si>
    <t>DATE OF EXAM</t>
  </si>
  <si>
    <t>COURSE INCHARGE</t>
  </si>
  <si>
    <t>HOD</t>
  </si>
  <si>
    <t>PRINCIPAL</t>
  </si>
  <si>
    <t>Assignments</t>
  </si>
  <si>
    <t>RUBRICS</t>
  </si>
  <si>
    <t>Blooms Level</t>
  </si>
  <si>
    <t>key  words</t>
  </si>
  <si>
    <t>Define, List, Statementn, Find, Locate.</t>
  </si>
  <si>
    <t>Execute, Implement, Solve, Use, Interpret, Demonstrate, Sketch, Illustrate,  Complete, Draw, Apply, Calculate.</t>
  </si>
  <si>
    <t>What, How, Classify, Describe, Discuss, Explain, Identify, Select, Outline.</t>
  </si>
  <si>
    <t>Differentiate, Compare, Contrast, Distinguish, Examine,  Test, Organize, Identify, Categorize.</t>
  </si>
  <si>
    <t>Justify, Judge, Appraise, Defend, Argue, Valuate, Prioritize, Criticize.</t>
  </si>
  <si>
    <t>Construct, Design, Assemble, Format, Investigate, Develop, Formulate, Create, Imagine, Produce, Invent, Plan, Build.</t>
  </si>
  <si>
    <t>Q.No.</t>
  </si>
  <si>
    <t>UA</t>
  </si>
  <si>
    <t>WH</t>
  </si>
  <si>
    <t>Achieved CO Vs PO</t>
  </si>
  <si>
    <t>Overall Course Outcome Attainment</t>
  </si>
  <si>
    <t>Course</t>
  </si>
  <si>
    <t>PO Attainment</t>
  </si>
  <si>
    <t>CO Vs PO</t>
  </si>
  <si>
    <t>Staff In-Charge</t>
  </si>
  <si>
    <t xml:space="preserve">                                         </t>
  </si>
  <si>
    <t>PART - B (4 X 10 = 40)</t>
  </si>
  <si>
    <t xml:space="preserve"> INTERNAL ASSESSMENT TEST - III</t>
  </si>
  <si>
    <t>GRADE</t>
  </si>
  <si>
    <t>PSO3</t>
  </si>
  <si>
    <t>Cos</t>
  </si>
  <si>
    <t>PO Description</t>
  </si>
  <si>
    <t>Attained Level</t>
  </si>
  <si>
    <t>Suggestions for filling the Curriculum Gap</t>
  </si>
  <si>
    <t>Targetted</t>
  </si>
  <si>
    <t>Obtained</t>
  </si>
  <si>
    <t>a</t>
  </si>
  <si>
    <t>b</t>
  </si>
  <si>
    <t>c</t>
  </si>
  <si>
    <t>d</t>
  </si>
  <si>
    <t>e</t>
  </si>
  <si>
    <t>f</t>
  </si>
  <si>
    <t>g</t>
  </si>
  <si>
    <t>h</t>
  </si>
  <si>
    <t>i</t>
  </si>
  <si>
    <t>j</t>
  </si>
  <si>
    <t>k</t>
  </si>
  <si>
    <t>l</t>
  </si>
  <si>
    <r>
      <rPr>
        <b/>
        <sz val="10"/>
        <color theme="1"/>
        <rFont val="Times New Roman"/>
        <family val="1"/>
      </rPr>
      <t xml:space="preserve">Engineering knowledge: </t>
    </r>
    <r>
      <rPr>
        <sz val="10"/>
        <color theme="1"/>
        <rFont val="Times New Roman"/>
        <family val="1"/>
      </rPr>
      <t>Apply the knowledge of mathematics, science, engineering fundamentals, and an engineering specialization to the solution of complex engineering problems.</t>
    </r>
  </si>
  <si>
    <r>
      <rPr>
        <b/>
        <sz val="10"/>
        <color theme="1"/>
        <rFont val="Times New Roman"/>
        <family val="1"/>
      </rPr>
      <t>Problem analysis:</t>
    </r>
    <r>
      <rPr>
        <sz val="10"/>
        <color theme="1"/>
        <rFont val="Times New Roman"/>
        <family val="1"/>
      </rPr>
      <t xml:space="preserve"> Identify, formulate, review research literature, and analyze complex engineering problems reaching substantiated conclusions using first principles of mathematics, natural sciences, and engineering sciences.</t>
    </r>
  </si>
  <si>
    <r>
      <rPr>
        <b/>
        <sz val="10"/>
        <color theme="1"/>
        <rFont val="Times New Roman"/>
        <family val="1"/>
      </rPr>
      <t>Design/development of solutions:</t>
    </r>
    <r>
      <rPr>
        <sz val="10"/>
        <color theme="1"/>
        <rFont val="Times New Roman"/>
        <family val="1"/>
      </rPr>
      <t xml:space="preserve"> Design solutions for complex engineering problems and design system components or processes that meet the specified needs with appropriate consideration for the public health and safety, and the cultural, societal, and environmental considerations.</t>
    </r>
  </si>
  <si>
    <r>
      <rPr>
        <b/>
        <sz val="10"/>
        <color theme="1"/>
        <rFont val="Times New Roman"/>
        <family val="1"/>
      </rPr>
      <t>Conduct investigations of complex problems:</t>
    </r>
    <r>
      <rPr>
        <sz val="10"/>
        <color theme="1"/>
        <rFont val="Times New Roman"/>
        <family val="1"/>
      </rPr>
      <t xml:space="preserve"> Use research-based knowledge and research methods including design of experiments, analysis and interpretation of data, and synthesis of the information to provide valid conclusions.</t>
    </r>
  </si>
  <si>
    <r>
      <rPr>
        <b/>
        <sz val="10"/>
        <color theme="1"/>
        <rFont val="Times New Roman"/>
        <family val="1"/>
      </rPr>
      <t>Modern tool usage:</t>
    </r>
    <r>
      <rPr>
        <sz val="10"/>
        <color theme="1"/>
        <rFont val="Times New Roman"/>
        <family val="1"/>
      </rPr>
      <t xml:space="preserve"> Create, select, and apply appropriate techniques, resources, and modern engineering and IT tools including prediction and modeling to complex engineering activities with an understanding of the limitations.</t>
    </r>
  </si>
  <si>
    <r>
      <rPr>
        <b/>
        <sz val="10"/>
        <color theme="1"/>
        <rFont val="Times New Roman"/>
        <family val="1"/>
      </rPr>
      <t>The engineer and society:</t>
    </r>
    <r>
      <rPr>
        <sz val="10"/>
        <color theme="1"/>
        <rFont val="Times New Roman"/>
        <family val="1"/>
      </rPr>
      <t xml:space="preserve"> Apply reasoning informed by the contextual knowledge to assess societal, health, safety, legal and cultural issues and the consequent responsibilities relevant to the professional engineering practice.</t>
    </r>
  </si>
  <si>
    <r>
      <rPr>
        <b/>
        <sz val="10"/>
        <color theme="1"/>
        <rFont val="Times New Roman"/>
        <family val="1"/>
      </rPr>
      <t>Environment and sustainability</t>
    </r>
    <r>
      <rPr>
        <sz val="10"/>
        <color theme="1"/>
        <rFont val="Times New Roman"/>
        <family val="1"/>
      </rPr>
      <t>: Understand the impact of the professional engineering solutions in societal and environmental contexts, and demonstrate the knowledge of, and need for sustainable development.</t>
    </r>
  </si>
  <si>
    <r>
      <rPr>
        <b/>
        <sz val="10"/>
        <color theme="1"/>
        <rFont val="Times New Roman"/>
        <family val="1"/>
      </rPr>
      <t>Ethics</t>
    </r>
    <r>
      <rPr>
        <sz val="10"/>
        <color theme="1"/>
        <rFont val="Times New Roman"/>
        <family val="1"/>
      </rPr>
      <t>: Apply ethical principles and commit to professional ethics and responsibilities and norms of the engineering practice.</t>
    </r>
  </si>
  <si>
    <r>
      <rPr>
        <b/>
        <sz val="10"/>
        <color theme="1"/>
        <rFont val="Times New Roman"/>
        <family val="1"/>
      </rPr>
      <t>Individual and team work</t>
    </r>
    <r>
      <rPr>
        <sz val="10"/>
        <color theme="1"/>
        <rFont val="Times New Roman"/>
        <family val="1"/>
      </rPr>
      <t>: Function effectively as an individual, and as a member or leader in diverse teams, and in multidisciplinary settings.</t>
    </r>
  </si>
  <si>
    <r>
      <rPr>
        <b/>
        <sz val="10"/>
        <color theme="1"/>
        <rFont val="Times New Roman"/>
        <family val="1"/>
      </rPr>
      <t>Communication</t>
    </r>
    <r>
      <rPr>
        <sz val="10"/>
        <color theme="1"/>
        <rFont val="Times New Roman"/>
        <family val="1"/>
      </rPr>
      <t>: Communicate effectively on complex engineering activities with the engineering community and with society at large, such as, being able to comprehend and write effective reports and design documentation, make effective presentations, and give and receive clear instructions.</t>
    </r>
  </si>
  <si>
    <r>
      <rPr>
        <b/>
        <sz val="10"/>
        <color theme="1"/>
        <rFont val="Times New Roman"/>
        <family val="1"/>
      </rPr>
      <t>Project management and finance</t>
    </r>
    <r>
      <rPr>
        <sz val="10"/>
        <color theme="1"/>
        <rFont val="Times New Roman"/>
        <family val="1"/>
      </rPr>
      <t>: Demonstrate knowledge and understanding of the engineering and management principles and apply these to one’s own work, as a member and leader in a team, to manage projects and in multidisciplinary environments.</t>
    </r>
  </si>
  <si>
    <r>
      <rPr>
        <b/>
        <sz val="10"/>
        <color theme="1"/>
        <rFont val="Times New Roman"/>
        <family val="1"/>
      </rPr>
      <t>Life-long learning</t>
    </r>
    <r>
      <rPr>
        <sz val="10"/>
        <color theme="1"/>
        <rFont val="Times New Roman"/>
        <family val="1"/>
      </rPr>
      <t>: Recognize the need for, and have the preparation and ability to engage in independent and life-long learning in the broadest context of technological change.</t>
    </r>
  </si>
  <si>
    <t xml:space="preserve"> INTERNAL ASSESSMENT TEST - III </t>
  </si>
  <si>
    <t>CO SEM / SUB / . NO.</t>
  </si>
  <si>
    <t>TIME:</t>
  </si>
  <si>
    <t>TOTAL
 MARKS (50)</t>
  </si>
  <si>
    <t>No. of Students in the Class:</t>
  </si>
  <si>
    <t>MARK ALLOCATION</t>
  </si>
  <si>
    <t>CO ATTAINMENT DIRECT- I</t>
  </si>
  <si>
    <t>COURSE END SURVEY</t>
  </si>
  <si>
    <t>END REPORT</t>
  </si>
  <si>
    <t>FINAL REPORT</t>
  </si>
  <si>
    <t>COURSE OUTCOME ATTAINMENT</t>
  </si>
  <si>
    <t>PROGRAMME OUTCOME ATTAINMENT</t>
  </si>
  <si>
    <t xml:space="preserve"> CURRICULUM GAP</t>
  </si>
  <si>
    <t>No. of students attained more than 50% of marks in the relevant CO</t>
  </si>
  <si>
    <t>Percentage of students obtained more than 50% marks in relevant CO</t>
  </si>
  <si>
    <t xml:space="preserve"> UNIVERSITY EXAM</t>
  </si>
  <si>
    <t>UNIV</t>
  </si>
  <si>
    <t>Assessment Mode</t>
  </si>
  <si>
    <t xml:space="preserve">OVERALL CO ATTAINMENT   </t>
  </si>
  <si>
    <t>WEIGHTAGE*10</t>
  </si>
  <si>
    <t xml:space="preserve">  </t>
  </si>
  <si>
    <t>11:15-12:45</t>
  </si>
  <si>
    <t>Students scoring more than 60% marks in the relevant CO</t>
  </si>
  <si>
    <t>Students scoring more than 50% marks in the relevant CO</t>
  </si>
  <si>
    <t>Students scoring more than 40% marks in the relevant CO</t>
  </si>
  <si>
    <t>U</t>
  </si>
  <si>
    <t>Final Analysis Report</t>
  </si>
  <si>
    <t xml:space="preserve">IAT </t>
  </si>
  <si>
    <t>Rubrics</t>
  </si>
  <si>
    <t>End Sem</t>
  </si>
  <si>
    <t>Indirect</t>
  </si>
  <si>
    <t>Average CO Attainment Level</t>
  </si>
  <si>
    <t>Micro Analysis:</t>
  </si>
  <si>
    <t>Macro Analysis:</t>
  </si>
  <si>
    <t>End Sem =</t>
  </si>
  <si>
    <t>Total 100% =</t>
  </si>
  <si>
    <t>Direct Assesment:</t>
  </si>
  <si>
    <t>Overall CO Attainment:</t>
  </si>
  <si>
    <t xml:space="preserve">  Micro Analysis 50%  =</t>
  </si>
  <si>
    <t>80% of Direct Assessment =</t>
  </si>
  <si>
    <t>Macro Analysis 50% =</t>
  </si>
  <si>
    <t>20% of Indirect Assessment =</t>
  </si>
  <si>
    <t>Total 100%   =</t>
  </si>
  <si>
    <t>Overall CO Attainment =</t>
  </si>
  <si>
    <t>Average PO Target</t>
  </si>
  <si>
    <t>COURSE IN-CHARGE</t>
  </si>
  <si>
    <t>CO 1</t>
  </si>
  <si>
    <t>CO 2</t>
  </si>
  <si>
    <t>CO 3</t>
  </si>
  <si>
    <t>CO 4</t>
  </si>
  <si>
    <t>CO 5</t>
  </si>
  <si>
    <t>CO 5 Attainment</t>
  </si>
  <si>
    <t>CO 1 Attainment</t>
  </si>
  <si>
    <t>CO 2 Attainment</t>
  </si>
  <si>
    <t>CO 3 Attainment</t>
  </si>
  <si>
    <t>MARK LIST</t>
  </si>
  <si>
    <t>BATCH:</t>
  </si>
  <si>
    <t>SEM:</t>
  </si>
  <si>
    <t>CLASS  :</t>
  </si>
  <si>
    <t>Sl. No.</t>
  </si>
  <si>
    <t>Register No.</t>
  </si>
  <si>
    <t>PART - A ( 5 X 2 = 10)</t>
  </si>
  <si>
    <t>PART - B (8 X 5 = 40)</t>
  </si>
  <si>
    <t>Total
(50)</t>
  </si>
  <si>
    <t>Total
(100)</t>
  </si>
  <si>
    <t>6a</t>
  </si>
  <si>
    <t>6b</t>
  </si>
  <si>
    <t>7a</t>
  </si>
  <si>
    <t>7b</t>
  </si>
  <si>
    <t>8a</t>
  </si>
  <si>
    <t>8b</t>
  </si>
  <si>
    <t>9a</t>
  </si>
  <si>
    <t>9b</t>
  </si>
  <si>
    <t>10a</t>
  </si>
  <si>
    <t>10b</t>
  </si>
  <si>
    <t>Date of Exam</t>
  </si>
  <si>
    <t>Date of Submission</t>
  </si>
  <si>
    <t>No of Students Appeared</t>
  </si>
  <si>
    <t xml:space="preserve">COURSE INCHARGE </t>
  </si>
  <si>
    <t xml:space="preserve">No of Students Passed </t>
  </si>
  <si>
    <t>CLASS INCHARGE</t>
  </si>
  <si>
    <t xml:space="preserve">No of Students Failed  </t>
  </si>
  <si>
    <t>Pass Percentage</t>
  </si>
  <si>
    <t>ü</t>
  </si>
  <si>
    <t>CO 4 Attainment</t>
  </si>
  <si>
    <t>BLOOMS LEVEL</t>
  </si>
  <si>
    <t>ASSIGNMENT</t>
  </si>
  <si>
    <t>COs</t>
  </si>
  <si>
    <t>CO1</t>
  </si>
  <si>
    <t>CO3</t>
  </si>
  <si>
    <t>CO4</t>
  </si>
  <si>
    <t>CO5</t>
  </si>
  <si>
    <t>L2</t>
  </si>
  <si>
    <t>L4</t>
  </si>
  <si>
    <t>DESCRIPTION</t>
  </si>
  <si>
    <t>CONTENTS</t>
  </si>
  <si>
    <t>PRESENTATION</t>
  </si>
  <si>
    <t>TIMELY 
SUBMISSION</t>
  </si>
  <si>
    <t>TOTAL</t>
  </si>
  <si>
    <t>BATCH: 2023-2027</t>
  </si>
  <si>
    <t>2023-27</t>
  </si>
  <si>
    <t>ABINAYA S</t>
  </si>
  <si>
    <t>ABISHEK S</t>
  </si>
  <si>
    <t>AJEETHA S</t>
  </si>
  <si>
    <t>AJIM FAYAZ K M S</t>
  </si>
  <si>
    <t>ALPHONES CRUZ NAVEEN J</t>
  </si>
  <si>
    <t>ANGEL AGNES D</t>
  </si>
  <si>
    <t>ANUSHA P</t>
  </si>
  <si>
    <t>ARIBA M</t>
  </si>
  <si>
    <t>BALADHARSHINI S</t>
  </si>
  <si>
    <t>BALASANKAR AYYAPPAN M</t>
  </si>
  <si>
    <t>BALA SRI RAM G</t>
  </si>
  <si>
    <t>BENJAMINE FRANKLIN C</t>
  </si>
  <si>
    <t>CATHRINE R</t>
  </si>
  <si>
    <t>CHENGALESWARI K</t>
  </si>
  <si>
    <t>DEVI L</t>
  </si>
  <si>
    <t>DHARUN S</t>
  </si>
  <si>
    <t>EAKANTHALINGAM R</t>
  </si>
  <si>
    <t>EFRIN THANASEKARAN J</t>
  </si>
  <si>
    <t>GAYATHRI M</t>
  </si>
  <si>
    <t>GOKILA G</t>
  </si>
  <si>
    <t>GOWRI KRISHNAVENI N</t>
  </si>
  <si>
    <t>HEART BRIGHT MERCY S</t>
  </si>
  <si>
    <t>INFANT EBINESH R</t>
  </si>
  <si>
    <t>JAI SURYA N</t>
  </si>
  <si>
    <t>JANI ALICE THIRSA J</t>
  </si>
  <si>
    <t>JEBA A</t>
  </si>
  <si>
    <t>JENIFER E</t>
  </si>
  <si>
    <t>JENITTA CATHERIN R</t>
  </si>
  <si>
    <t>JEYACHITHRA K</t>
  </si>
  <si>
    <t>JOSVA PRINCE R</t>
  </si>
  <si>
    <t>KALAI SELVAN VINOTH P</t>
  </si>
  <si>
    <t>LAKSHMANAN SARATHI S</t>
  </si>
  <si>
    <t>LIJO DURAISINGH V S</t>
  </si>
  <si>
    <t>LOVISAL JOY K</t>
  </si>
  <si>
    <t>MAGESH GOWRI S</t>
  </si>
  <si>
    <t>MARIMUTHU S</t>
  </si>
  <si>
    <t>MARIYA FATHIMA JEYARANI R</t>
  </si>
  <si>
    <t>MARTIN PRISCA D</t>
  </si>
  <si>
    <t>MERLIN HEPSIBA K</t>
  </si>
  <si>
    <t>MUTHUPRASANNA M</t>
  </si>
  <si>
    <t>MUTHURAJ M</t>
  </si>
  <si>
    <t>PONKEERTHANA B</t>
  </si>
  <si>
    <t>POORANATRIFFIE P</t>
  </si>
  <si>
    <t>RACKLAND T</t>
  </si>
  <si>
    <t>RAJA SUNDAR K</t>
  </si>
  <si>
    <t>RAMALINGAM B</t>
  </si>
  <si>
    <t>SELVAM GRACELIN S</t>
  </si>
  <si>
    <t>SHANKAR V</t>
  </si>
  <si>
    <t>SINDHUJA RAJASUMANA R</t>
  </si>
  <si>
    <t>SNEGA G</t>
  </si>
  <si>
    <t>SUBRAMANIAN V</t>
  </si>
  <si>
    <t>SUGAN RAJ H</t>
  </si>
  <si>
    <t>THOMAS KOILRAJ J</t>
  </si>
  <si>
    <t>VANITHA L</t>
  </si>
  <si>
    <t>VICTOR ROBINSON</t>
  </si>
  <si>
    <t>VIJAYAPRAKASH S</t>
  </si>
  <si>
    <t>VIJITHA BLESSY V</t>
  </si>
  <si>
    <t>C</t>
  </si>
  <si>
    <t>60% of IAT  =</t>
  </si>
  <si>
    <t>40% of Rubrics =</t>
  </si>
  <si>
    <t>Evolve AI based efficient domain specific processes for effective decision making in several domains such as business and governance domain.</t>
  </si>
  <si>
    <t>Arrive at actionable €foresight, €insight,hindsight from data for solving business and engineering problems.</t>
  </si>
  <si>
    <t>Create, select and apply the theoritical knowledge of AI and Data Analytics along with practical industrial tools and techniques to manage and solve wicked societal problems.</t>
  </si>
  <si>
    <t>Capable of developing data analytics and data visualization skills, skills pertaining to knowledge engineering, and hence capable of coordinating complex projects.</t>
  </si>
  <si>
    <t>Able to carru out fundamental research to cater the critical needs of the society through cutting edgee technologies of AI.</t>
  </si>
  <si>
    <t>DEPARTMENT OF ARTIFICIAL INTELLIGENCE AND DATA SCIENCE</t>
  </si>
  <si>
    <t>11:30-1.00</t>
  </si>
  <si>
    <t>30.09.24</t>
  </si>
  <si>
    <t>AB</t>
  </si>
  <si>
    <t>Content Beyond Syllabus</t>
  </si>
  <si>
    <t xml:space="preserve"> INTERNAL ASSESSMENT TEST - III  </t>
  </si>
  <si>
    <t>Content Beyond Syllabus Quiz(L1)</t>
  </si>
  <si>
    <t>Percentage of students more than 50% marks in the relevant CO</t>
  </si>
  <si>
    <t>COURSE CODE / NAME: CW3551 DATA AND INFORMATION SECURITY</t>
  </si>
  <si>
    <t>COURSE INSTRUCTOR/DESIGNATION: G. ALISHA EVANGELINE,AP/ADS</t>
  </si>
  <si>
    <t>CLASS  : III ADS</t>
  </si>
  <si>
    <t>SEM:05</t>
  </si>
  <si>
    <t>20/09/2025</t>
  </si>
  <si>
    <t>Understand the basics of data and information security</t>
  </si>
  <si>
    <t>Understand the legal, ethical and professional issues in information security</t>
  </si>
  <si>
    <t>Understand the various authentication schemes to simulate different applications</t>
  </si>
  <si>
    <t>Understand various security practices and system security standards</t>
  </si>
  <si>
    <t>Understand the web security protocols for E-commerce applications</t>
  </si>
  <si>
    <t xml:space="preserve">CONTINUOUS ASSESSMENT TEST - I </t>
  </si>
  <si>
    <t xml:space="preserve">CONTINUOUS ASSESSMENT TEST - II </t>
  </si>
  <si>
    <t>III ADS</t>
  </si>
  <si>
    <t xml:space="preserve">CONTINUOUS ASSESSMENT TEST - I   </t>
  </si>
  <si>
    <t xml:space="preserve">CONTINUOUS ASSESSMENT TEST - II   </t>
  </si>
  <si>
    <t>L6</t>
  </si>
  <si>
    <t>No. of Students in the Class: 57</t>
  </si>
  <si>
    <t>ACADEMIC YEAR 2025-26  (ODD SEM)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</si>
</sst>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9" x14ac:knownFonts="1">
    <font>
      <sz val="11"/>
      <color theme="1"/>
      <name val="Calibri"/>
      <family val="2"/>
      <scheme val="minor"/>
    </font>
    <font>
      <b/>
      <sz val="11"/>
      <name val="Times New Roman"/>
      <family val="1"/>
      <charset val="1"/>
    </font>
    <font>
      <b/>
      <sz val="9"/>
      <name val="Times New Roman"/>
      <family val="1"/>
      <charset val="1"/>
    </font>
    <font>
      <b/>
      <sz val="11"/>
      <color theme="1"/>
      <name val="Calibri"/>
      <family val="2"/>
      <scheme val="minor"/>
    </font>
    <font>
      <b/>
      <sz val="12"/>
      <color theme="1"/>
      <name val="Times New Roman"/>
      <family val="1"/>
    </font>
    <font>
      <b/>
      <sz val="10"/>
      <color theme="1"/>
      <name val="Times New Roman"/>
      <family val="1"/>
    </font>
    <font>
      <sz val="10"/>
      <name val="Times New Roman"/>
      <family val="1"/>
      <charset val="1"/>
    </font>
    <font>
      <b/>
      <sz val="11"/>
      <name val="Times New Roman"/>
      <family val="1"/>
    </font>
    <font>
      <b/>
      <u/>
      <sz val="11"/>
      <color theme="1"/>
      <name val="Times New Roman"/>
      <family val="1"/>
    </font>
    <font>
      <b/>
      <sz val="12"/>
      <name val="Times New Roman"/>
      <family val="1"/>
    </font>
    <font>
      <b/>
      <sz val="12"/>
      <color rgb="FF000000"/>
      <name val="Times New Roman"/>
      <family val="1"/>
    </font>
    <font>
      <sz val="12"/>
      <color rgb="FF000000"/>
      <name val="Times New Roman"/>
      <family val="1"/>
    </font>
    <font>
      <b/>
      <sz val="12"/>
      <color theme="1"/>
      <name val="Cambria"/>
      <family val="1"/>
      <scheme val="major"/>
    </font>
    <font>
      <sz val="12"/>
      <color theme="1"/>
      <name val="Cambria"/>
      <family val="1"/>
      <scheme val="major"/>
    </font>
    <font>
      <b/>
      <sz val="11"/>
      <color theme="1"/>
      <name val="Cambria"/>
      <family val="1"/>
      <scheme val="major"/>
    </font>
    <font>
      <b/>
      <sz val="11"/>
      <color theme="1"/>
      <name val="Times New Roman"/>
      <family val="1"/>
    </font>
    <font>
      <sz val="10"/>
      <color theme="1"/>
      <name val="Calibri"/>
      <family val="2"/>
      <scheme val="minor"/>
    </font>
    <font>
      <b/>
      <sz val="10"/>
      <color theme="1"/>
      <name val="Cambria"/>
      <family val="1"/>
      <scheme val="major"/>
    </font>
    <font>
      <sz val="12"/>
      <color theme="1"/>
      <name val="Times New Roman"/>
      <family val="1"/>
    </font>
    <font>
      <b/>
      <sz val="10"/>
      <name val="Times New Roman"/>
      <family val="1"/>
    </font>
    <font>
      <b/>
      <sz val="12"/>
      <color theme="1"/>
      <name val="Calibri"/>
      <family val="2"/>
      <scheme val="minor"/>
    </font>
    <font>
      <b/>
      <sz val="11"/>
      <color rgb="FF000000"/>
      <name val="Times New Roman"/>
      <family val="1"/>
    </font>
    <font>
      <b/>
      <sz val="10"/>
      <name val="Times New Roman"/>
      <family val="1"/>
      <charset val="1"/>
    </font>
    <font>
      <b/>
      <sz val="11"/>
      <color rgb="FF000000"/>
      <name val="Calibri"/>
      <family val="2"/>
      <charset val="1"/>
    </font>
    <font>
      <b/>
      <u/>
      <sz val="10"/>
      <name val="Times New Roman"/>
      <family val="1"/>
      <charset val="1"/>
    </font>
    <font>
      <sz val="11"/>
      <color rgb="FF000000"/>
      <name val="Times New Roman"/>
      <family val="1"/>
    </font>
    <font>
      <b/>
      <sz val="10"/>
      <color rgb="FF000000"/>
      <name val="Times New Roman"/>
      <family val="1"/>
    </font>
    <font>
      <b/>
      <sz val="8"/>
      <color rgb="FF000000"/>
      <name val="Times New Roman"/>
      <family val="1"/>
    </font>
    <font>
      <sz val="16"/>
      <color rgb="FF000000"/>
      <name val="Wingdings 2"/>
      <family val="1"/>
      <charset val="2"/>
    </font>
    <font>
      <sz val="10"/>
      <color rgb="FF000000"/>
      <name val="Calibri"/>
      <family val="2"/>
      <charset val="1"/>
    </font>
    <font>
      <sz val="10"/>
      <color rgb="FF000000"/>
      <name val="Times New Roman"/>
      <family val="1"/>
    </font>
    <font>
      <b/>
      <sz val="9"/>
      <color rgb="FF000000"/>
      <name val="Times New Roman"/>
      <family val="1"/>
    </font>
    <font>
      <b/>
      <sz val="10"/>
      <color rgb="FF000000"/>
      <name val="Times New Roman"/>
      <family val="1"/>
      <charset val="1"/>
    </font>
    <font>
      <b/>
      <sz val="9"/>
      <color indexed="81"/>
      <name val="Tahoma"/>
      <family val="2"/>
    </font>
    <font>
      <sz val="9"/>
      <color indexed="81"/>
      <name val="Tahoma"/>
      <family val="2"/>
    </font>
    <font>
      <b/>
      <sz val="8"/>
      <name val="Times New Roman"/>
      <family val="1"/>
    </font>
    <font>
      <sz val="12"/>
      <color theme="1"/>
      <name val="Calibri"/>
      <family val="2"/>
      <scheme val="minor"/>
    </font>
    <font>
      <sz val="11"/>
      <color theme="1"/>
      <name val="Times New Roman"/>
      <family val="1"/>
    </font>
    <font>
      <b/>
      <sz val="16"/>
      <color theme="1"/>
      <name val="Calibri"/>
      <family val="2"/>
      <scheme val="minor"/>
    </font>
    <font>
      <sz val="14"/>
      <color theme="1"/>
      <name val="Cambria"/>
      <family val="1"/>
    </font>
    <font>
      <b/>
      <sz val="14"/>
      <color rgb="FF000000"/>
      <name val="Times New Roman"/>
      <family val="1"/>
    </font>
    <font>
      <sz val="10"/>
      <color theme="1"/>
      <name val="Times New Roman"/>
      <family val="1"/>
    </font>
    <font>
      <b/>
      <sz val="12"/>
      <name val="Times New Roman"/>
      <family val="1"/>
      <charset val="1"/>
    </font>
    <font>
      <sz val="16"/>
      <color theme="1"/>
      <name val="Times New Roman"/>
      <family val="1"/>
    </font>
    <font>
      <b/>
      <sz val="16"/>
      <color theme="1"/>
      <name val="Times New Roman"/>
      <family val="1"/>
    </font>
    <font>
      <sz val="12"/>
      <name val="Times New Roman"/>
      <family val="1"/>
    </font>
    <font>
      <sz val="11"/>
      <name val="Times New Roman"/>
      <family val="1"/>
    </font>
    <font>
      <sz val="9"/>
      <color rgb="FF000000"/>
      <name val="Times New Roman"/>
      <family val="1"/>
    </font>
    <font>
      <b/>
      <u/>
      <sz val="10"/>
      <color theme="1"/>
      <name val="Times New Roman"/>
      <family val="1"/>
    </font>
    <font>
      <b/>
      <sz val="12"/>
      <color theme="1"/>
      <name val="Cambria"/>
      <family val="2"/>
      <scheme val="major"/>
    </font>
    <font>
      <sz val="11"/>
      <name val="Calibri"/>
      <family val="2"/>
    </font>
    <font>
      <sz val="11"/>
      <color rgb="FF000000"/>
      <name val="Calibri"/>
      <family val="2"/>
      <charset val="1"/>
    </font>
    <font>
      <sz val="11"/>
      <color rgb="FF000000"/>
      <name val="Times New Roman"/>
      <family val="1"/>
      <charset val="1"/>
    </font>
    <font>
      <b/>
      <sz val="11"/>
      <color rgb="FF000000"/>
      <name val="Times New Roman"/>
      <family val="1"/>
      <charset val="1"/>
    </font>
    <font>
      <sz val="16"/>
      <color rgb="FF000000"/>
      <name val="Wingdings"/>
      <charset val="2"/>
    </font>
    <font>
      <b/>
      <u/>
      <sz val="11"/>
      <color theme="1"/>
      <name val="Calibri"/>
      <family val="2"/>
      <scheme val="minor"/>
    </font>
    <font>
      <b/>
      <sz val="8"/>
      <color theme="1"/>
      <name val="Times New Roman"/>
      <family val="1"/>
    </font>
    <font>
      <sz val="11"/>
      <color theme="1"/>
      <name val="Calibri"/>
      <family val="2"/>
      <scheme val="minor"/>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rgb="FFFFFFFF"/>
        <bgColor rgb="FFFFFFCC"/>
      </patternFill>
    </fill>
    <fill>
      <patternFill patternType="solid">
        <fgColor theme="0"/>
        <bgColor indexed="64"/>
      </patternFill>
    </fill>
    <fill>
      <patternFill patternType="solid">
        <fgColor theme="0" tint="-0.14999847407452621"/>
        <bgColor indexed="64"/>
      </patternFill>
    </fill>
    <fill>
      <patternFill patternType="solid">
        <fgColor theme="8" tint="0.59996337778862885"/>
        <bgColor indexed="64"/>
      </patternFill>
    </fill>
    <fill>
      <patternFill patternType="solid">
        <fgColor theme="6" tint="0.59996337778862885"/>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FF99CC"/>
        <bgColor indexed="64"/>
      </patternFill>
    </fill>
    <fill>
      <patternFill patternType="solid">
        <fgColor rgb="FF33CCFF"/>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rgb="FF00B0F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right/>
      <top style="thin">
        <color auto="1"/>
      </top>
      <bottom/>
      <diagonal/>
    </border>
    <border>
      <left/>
      <right/>
      <top/>
      <bottom style="thin">
        <color auto="1"/>
      </bottom>
      <diagonal/>
    </border>
  </borders>
  <cellStyleXfs count="5">
    <xf numFmtId="0" fontId="0" fillId="0" borderId="0"/>
    <xf numFmtId="0" fontId="50" fillId="0" borderId="0">
      <alignment vertical="center"/>
    </xf>
    <xf numFmtId="0" fontId="51" fillId="0" borderId="0"/>
    <xf numFmtId="9" fontId="51" fillId="0" borderId="0" applyFont="0" applyFill="0" applyBorder="0" applyAlignment="0" applyProtection="0"/>
    <xf numFmtId="9" fontId="57" fillId="0" borderId="0" applyFont="0" applyFill="0" applyBorder="0" applyAlignment="0" applyProtection="0"/>
  </cellStyleXfs>
  <cellXfs count="556">
    <xf numFmtId="0" fontId="0" fillId="0" borderId="0" xfId="0"/>
    <xf numFmtId="0" fontId="1" fillId="0" borderId="0" xfId="0" applyFont="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center"/>
    </xf>
    <xf numFmtId="0" fontId="0" fillId="0" borderId="1" xfId="0" applyBorder="1" applyAlignment="1">
      <alignment horizontal="center"/>
    </xf>
    <xf numFmtId="0" fontId="0" fillId="0" borderId="0" xfId="0" applyAlignment="1">
      <alignment horizontal="center"/>
    </xf>
    <xf numFmtId="0" fontId="6" fillId="3" borderId="1" xfId="0" applyFont="1" applyFill="1" applyBorder="1" applyAlignment="1">
      <alignment vertical="center"/>
    </xf>
    <xf numFmtId="0" fontId="3" fillId="0" borderId="0" xfId="0" applyFont="1"/>
    <xf numFmtId="0" fontId="7" fillId="0" borderId="0" xfId="0" applyFont="1" applyAlignment="1">
      <alignment horizontal="center" vertical="center"/>
    </xf>
    <xf numFmtId="0" fontId="8" fillId="0" borderId="0" xfId="0" applyFont="1"/>
    <xf numFmtId="0" fontId="4" fillId="0" borderId="0" xfId="0" applyFont="1"/>
    <xf numFmtId="0" fontId="9" fillId="0" borderId="0" xfId="0" applyFont="1" applyAlignment="1">
      <alignment horizontal="center" vertical="center"/>
    </xf>
    <xf numFmtId="0" fontId="10" fillId="0" borderId="0" xfId="0" applyFont="1" applyAlignment="1">
      <alignment horizontal="left"/>
    </xf>
    <xf numFmtId="0" fontId="10" fillId="0" borderId="0" xfId="0" applyFont="1"/>
    <xf numFmtId="0" fontId="12" fillId="4" borderId="2" xfId="0" applyFont="1" applyFill="1" applyBorder="1" applyAlignment="1">
      <alignment horizontal="center" vertical="center"/>
    </xf>
    <xf numFmtId="0" fontId="12" fillId="4" borderId="9" xfId="0" applyFont="1" applyFill="1" applyBorder="1" applyAlignment="1">
      <alignment horizontal="center" vertical="center"/>
    </xf>
    <xf numFmtId="0" fontId="13" fillId="4" borderId="1" xfId="0" applyFont="1" applyFill="1" applyBorder="1" applyAlignment="1">
      <alignment horizontal="left"/>
    </xf>
    <xf numFmtId="0" fontId="12" fillId="4" borderId="3" xfId="0" applyFont="1" applyFill="1" applyBorder="1" applyAlignment="1">
      <alignment horizontal="center" vertical="center"/>
    </xf>
    <xf numFmtId="0" fontId="0" fillId="0" borderId="1" xfId="0" applyBorder="1"/>
    <xf numFmtId="0" fontId="12" fillId="4" borderId="0" xfId="0" applyFont="1" applyFill="1" applyAlignment="1">
      <alignment horizontal="center" vertical="center"/>
    </xf>
    <xf numFmtId="0" fontId="13" fillId="4" borderId="0" xfId="0" applyFont="1" applyFill="1" applyAlignment="1">
      <alignment horizontal="left"/>
    </xf>
    <xf numFmtId="0" fontId="13" fillId="4" borderId="0" xfId="0" applyFont="1" applyFill="1"/>
    <xf numFmtId="0" fontId="14" fillId="4" borderId="0" xfId="0" applyFont="1" applyFill="1" applyAlignment="1">
      <alignment horizontal="left"/>
    </xf>
    <xf numFmtId="0" fontId="12" fillId="4" borderId="0" xfId="0" applyFont="1" applyFill="1" applyAlignment="1">
      <alignment horizontal="center"/>
    </xf>
    <xf numFmtId="0" fontId="12" fillId="0" borderId="0" xfId="0" applyFont="1" applyAlignment="1">
      <alignment horizontal="center"/>
    </xf>
    <xf numFmtId="2" fontId="0" fillId="0" borderId="0" xfId="0" applyNumberFormat="1"/>
    <xf numFmtId="0" fontId="12" fillId="4" borderId="1" xfId="0" applyFont="1" applyFill="1" applyBorder="1" applyAlignment="1">
      <alignment horizontal="center"/>
    </xf>
    <xf numFmtId="0" fontId="0" fillId="0" borderId="3" xfId="0" applyBorder="1" applyAlignment="1">
      <alignment horizontal="center"/>
    </xf>
    <xf numFmtId="0" fontId="0" fillId="4" borderId="0" xfId="0" applyFill="1"/>
    <xf numFmtId="0" fontId="12" fillId="0" borderId="0" xfId="0" applyFont="1" applyAlignment="1">
      <alignment horizontal="right"/>
    </xf>
    <xf numFmtId="0" fontId="6" fillId="0" borderId="8" xfId="0" applyFont="1" applyBorder="1" applyAlignment="1">
      <alignment vertical="center"/>
    </xf>
    <xf numFmtId="0" fontId="14" fillId="0" borderId="1" xfId="0" applyFont="1" applyBorder="1" applyAlignment="1">
      <alignment horizontal="right"/>
    </xf>
    <xf numFmtId="0" fontId="12" fillId="0" borderId="1" xfId="0" applyFont="1" applyBorder="1" applyAlignment="1">
      <alignment horizontal="center" vertical="center"/>
    </xf>
    <xf numFmtId="0" fontId="19" fillId="6" borderId="11" xfId="0" applyFont="1" applyFill="1" applyBorder="1" applyAlignment="1">
      <alignment horizontal="center" vertical="center"/>
    </xf>
    <xf numFmtId="0" fontId="19" fillId="6" borderId="1" xfId="0" applyFont="1" applyFill="1" applyBorder="1" applyAlignment="1">
      <alignment horizontal="center" vertical="center"/>
    </xf>
    <xf numFmtId="0" fontId="5" fillId="7" borderId="11" xfId="0" applyFont="1" applyFill="1" applyBorder="1" applyAlignment="1">
      <alignment horizontal="center" vertical="center"/>
    </xf>
    <xf numFmtId="0" fontId="5" fillId="7" borderId="6" xfId="0" applyFont="1" applyFill="1" applyBorder="1" applyAlignment="1">
      <alignment horizontal="center" vertical="center"/>
    </xf>
    <xf numFmtId="0" fontId="5" fillId="7" borderId="1" xfId="0" applyFont="1" applyFill="1" applyBorder="1" applyAlignment="1">
      <alignment horizontal="center" vertical="center"/>
    </xf>
    <xf numFmtId="0" fontId="5" fillId="7" borderId="7" xfId="0" applyFont="1" applyFill="1" applyBorder="1" applyAlignment="1">
      <alignment horizontal="center" vertical="center"/>
    </xf>
    <xf numFmtId="0" fontId="12" fillId="0" borderId="0" xfId="0" applyFont="1" applyAlignment="1">
      <alignment horizontal="center" vertical="center"/>
    </xf>
    <xf numFmtId="2" fontId="12" fillId="4" borderId="0" xfId="0" applyNumberFormat="1" applyFont="1" applyFill="1" applyAlignment="1">
      <alignment horizontal="center" vertical="center"/>
    </xf>
    <xf numFmtId="0" fontId="12" fillId="4" borderId="9" xfId="0" applyFont="1" applyFill="1" applyBorder="1" applyAlignment="1">
      <alignment horizontal="left" vertical="center"/>
    </xf>
    <xf numFmtId="0" fontId="21" fillId="0" borderId="0" xfId="0" applyFont="1"/>
    <xf numFmtId="0" fontId="23" fillId="0" borderId="0" xfId="0" applyFont="1"/>
    <xf numFmtId="0" fontId="24" fillId="0" borderId="0" xfId="0" applyFont="1" applyAlignment="1">
      <alignment vertical="center"/>
    </xf>
    <xf numFmtId="0" fontId="22" fillId="0" borderId="0" xfId="0" applyFont="1" applyAlignment="1">
      <alignment vertical="center"/>
    </xf>
    <xf numFmtId="0" fontId="25" fillId="0" borderId="0" xfId="0" applyFont="1"/>
    <xf numFmtId="0" fontId="4" fillId="2" borderId="1" xfId="0" applyFont="1" applyFill="1" applyBorder="1" applyAlignment="1">
      <alignment horizontal="center" vertical="center"/>
    </xf>
    <xf numFmtId="0" fontId="13" fillId="4" borderId="3" xfId="0" applyFont="1" applyFill="1" applyBorder="1"/>
    <xf numFmtId="0" fontId="13" fillId="4" borderId="2" xfId="0" applyFont="1" applyFill="1" applyBorder="1"/>
    <xf numFmtId="0" fontId="38" fillId="0" borderId="1" xfId="0" applyFont="1" applyBorder="1"/>
    <xf numFmtId="0" fontId="40" fillId="0" borderId="1" xfId="0" applyFont="1" applyBorder="1"/>
    <xf numFmtId="0" fontId="5" fillId="2" borderId="2" xfId="0" applyFont="1" applyFill="1" applyBorder="1" applyAlignment="1">
      <alignment horizontal="center" vertical="center" wrapText="1"/>
    </xf>
    <xf numFmtId="0" fontId="5" fillId="2" borderId="2" xfId="0" applyFont="1" applyFill="1" applyBorder="1" applyAlignment="1">
      <alignment horizontal="center" vertical="center"/>
    </xf>
    <xf numFmtId="0" fontId="0" fillId="10" borderId="1" xfId="0" applyFill="1" applyBorder="1" applyAlignment="1">
      <alignment horizontal="center"/>
    </xf>
    <xf numFmtId="0" fontId="5" fillId="2" borderId="1" xfId="0" applyFont="1" applyFill="1" applyBorder="1" applyAlignment="1">
      <alignment horizontal="center" vertical="center"/>
    </xf>
    <xf numFmtId="0" fontId="3" fillId="0" borderId="0" xfId="0" applyFont="1" applyAlignment="1">
      <alignment horizontal="center"/>
    </xf>
    <xf numFmtId="0" fontId="9" fillId="0" borderId="1" xfId="0" applyFont="1" applyBorder="1" applyAlignment="1">
      <alignment horizontal="center" vertical="center"/>
    </xf>
    <xf numFmtId="0" fontId="9" fillId="0" borderId="1" xfId="0" applyFont="1" applyBorder="1" applyAlignment="1">
      <alignment horizontal="center"/>
    </xf>
    <xf numFmtId="0" fontId="11" fillId="0" borderId="1" xfId="0" applyFont="1" applyBorder="1" applyAlignment="1">
      <alignment horizontal="center" vertical="center" wrapText="1"/>
    </xf>
    <xf numFmtId="0" fontId="2" fillId="0" borderId="0" xfId="0" applyFont="1" applyAlignment="1">
      <alignment horizontal="center" vertical="center"/>
    </xf>
    <xf numFmtId="0" fontId="5" fillId="2" borderId="8"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8" xfId="0" applyFont="1" applyFill="1" applyBorder="1" applyAlignment="1">
      <alignment horizontal="center" vertical="center"/>
    </xf>
    <xf numFmtId="0" fontId="4" fillId="2" borderId="10"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6" xfId="0" applyFont="1" applyFill="1" applyBorder="1" applyAlignment="1">
      <alignment horizontal="center" vertical="center"/>
    </xf>
    <xf numFmtId="0" fontId="5" fillId="6" borderId="8" xfId="0" applyFont="1" applyFill="1" applyBorder="1" applyAlignment="1">
      <alignment horizontal="center" vertical="center" wrapText="1"/>
    </xf>
    <xf numFmtId="0" fontId="13" fillId="4" borderId="2" xfId="0" applyFont="1" applyFill="1" applyBorder="1" applyAlignment="1">
      <alignment horizontal="left"/>
    </xf>
    <xf numFmtId="0" fontId="0" fillId="0" borderId="0" xfId="0" applyAlignment="1">
      <alignment horizontal="right"/>
    </xf>
    <xf numFmtId="2" fontId="12" fillId="4" borderId="1" xfId="0" applyNumberFormat="1" applyFont="1" applyFill="1" applyBorder="1" applyAlignment="1">
      <alignment horizontal="center" vertical="center"/>
    </xf>
    <xf numFmtId="0" fontId="5" fillId="4" borderId="0" xfId="0" applyFont="1" applyFill="1" applyAlignment="1">
      <alignment horizontal="center" vertical="center" wrapText="1"/>
    </xf>
    <xf numFmtId="0" fontId="20" fillId="0" borderId="0" xfId="0" applyFont="1"/>
    <xf numFmtId="0" fontId="0" fillId="0" borderId="0" xfId="0" applyAlignment="1">
      <alignment horizontal="left"/>
    </xf>
    <xf numFmtId="0" fontId="20" fillId="0" borderId="1" xfId="0" applyFont="1" applyBorder="1"/>
    <xf numFmtId="0" fontId="5" fillId="5" borderId="2"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41" fillId="0" borderId="1" xfId="0" applyFont="1" applyBorder="1" applyAlignment="1">
      <alignment vertical="center" wrapText="1"/>
    </xf>
    <xf numFmtId="0" fontId="37" fillId="0" borderId="0" xfId="0" applyFont="1" applyAlignment="1">
      <alignment horizontal="justify"/>
    </xf>
    <xf numFmtId="0" fontId="37" fillId="0" borderId="1" xfId="0" applyFont="1" applyBorder="1" applyAlignment="1">
      <alignment vertical="center" wrapText="1"/>
    </xf>
    <xf numFmtId="0" fontId="15" fillId="2" borderId="1" xfId="0" applyFont="1" applyFill="1" applyBorder="1" applyAlignment="1">
      <alignment horizontal="center" vertical="center"/>
    </xf>
    <xf numFmtId="0" fontId="5" fillId="4" borderId="0" xfId="0" applyFont="1" applyFill="1" applyAlignment="1">
      <alignment horizontal="center" vertical="center"/>
    </xf>
    <xf numFmtId="1" fontId="26" fillId="13" borderId="1" xfId="0" applyNumberFormat="1" applyFont="1" applyFill="1" applyBorder="1" applyAlignment="1">
      <alignment horizontal="center" vertical="center"/>
    </xf>
    <xf numFmtId="0" fontId="22" fillId="8" borderId="1" xfId="0" applyFont="1" applyFill="1" applyBorder="1" applyAlignment="1">
      <alignment horizontal="center" vertical="center"/>
    </xf>
    <xf numFmtId="0" fontId="22" fillId="9" borderId="1" xfId="0" applyFont="1" applyFill="1" applyBorder="1" applyAlignment="1">
      <alignment horizontal="center" vertical="center"/>
    </xf>
    <xf numFmtId="0" fontId="3" fillId="0" borderId="0" xfId="0" applyFont="1" applyAlignment="1">
      <alignment horizontal="left"/>
    </xf>
    <xf numFmtId="0" fontId="13" fillId="4" borderId="9" xfId="0" applyFont="1" applyFill="1" applyBorder="1"/>
    <xf numFmtId="0" fontId="3" fillId="4" borderId="0" xfId="0" applyFont="1" applyFill="1"/>
    <xf numFmtId="0" fontId="5" fillId="11" borderId="8" xfId="0" applyFont="1" applyFill="1" applyBorder="1" applyAlignment="1">
      <alignment horizontal="center" vertical="center" wrapText="1"/>
    </xf>
    <xf numFmtId="0" fontId="9" fillId="0" borderId="0" xfId="0" applyFont="1" applyAlignment="1">
      <alignment horizontal="right" vertical="center"/>
    </xf>
    <xf numFmtId="0" fontId="5" fillId="9" borderId="8" xfId="0" applyFont="1" applyFill="1" applyBorder="1" applyAlignment="1">
      <alignment horizontal="center" vertical="center"/>
    </xf>
    <xf numFmtId="0" fontId="5" fillId="9" borderId="11" xfId="0" applyFont="1" applyFill="1" applyBorder="1" applyAlignment="1">
      <alignment horizontal="center" vertical="center"/>
    </xf>
    <xf numFmtId="0" fontId="3" fillId="4" borderId="0" xfId="0" applyFont="1" applyFill="1" applyAlignment="1">
      <alignment horizontal="center"/>
    </xf>
    <xf numFmtId="0" fontId="0" fillId="15" borderId="1" xfId="0" applyFill="1" applyBorder="1" applyAlignment="1">
      <alignment horizontal="center"/>
    </xf>
    <xf numFmtId="0" fontId="0" fillId="16" borderId="1" xfId="0" applyFill="1" applyBorder="1" applyAlignment="1">
      <alignment horizontal="center"/>
    </xf>
    <xf numFmtId="0" fontId="5" fillId="8" borderId="8" xfId="0" applyFont="1" applyFill="1" applyBorder="1" applyAlignment="1">
      <alignment horizontal="center" vertical="center"/>
    </xf>
    <xf numFmtId="0" fontId="5" fillId="8" borderId="11" xfId="0" applyFont="1" applyFill="1" applyBorder="1" applyAlignment="1">
      <alignment horizontal="center" vertical="center"/>
    </xf>
    <xf numFmtId="0" fontId="5" fillId="15" borderId="8" xfId="0" applyFont="1" applyFill="1" applyBorder="1" applyAlignment="1">
      <alignment horizontal="center" vertical="center" wrapText="1"/>
    </xf>
    <xf numFmtId="0" fontId="0" fillId="17" borderId="1" xfId="0" applyFill="1" applyBorder="1" applyAlignment="1">
      <alignment horizontal="center"/>
    </xf>
    <xf numFmtId="0" fontId="13" fillId="0" borderId="1" xfId="0" applyFont="1" applyBorder="1" applyAlignment="1">
      <alignment horizontal="center" vertical="center"/>
    </xf>
    <xf numFmtId="0" fontId="13" fillId="0" borderId="0" xfId="0" applyFont="1" applyAlignment="1">
      <alignment vertical="center"/>
    </xf>
    <xf numFmtId="0" fontId="4" fillId="0" borderId="0" xfId="0" applyFont="1" applyAlignment="1">
      <alignment vertical="center" wrapText="1"/>
    </xf>
    <xf numFmtId="0" fontId="16" fillId="0" borderId="1" xfId="0" applyFont="1" applyBorder="1"/>
    <xf numFmtId="0" fontId="3" fillId="0" borderId="1" xfId="0" applyFont="1" applyBorder="1"/>
    <xf numFmtId="0" fontId="5" fillId="2" borderId="1" xfId="0" applyFont="1" applyFill="1" applyBorder="1" applyAlignment="1">
      <alignment horizontal="center" vertical="center" wrapText="1"/>
    </xf>
    <xf numFmtId="0" fontId="9" fillId="0" borderId="0" xfId="0" applyFont="1" applyAlignment="1">
      <alignment horizontal="center"/>
    </xf>
    <xf numFmtId="0" fontId="43" fillId="0" borderId="0" xfId="0" applyFont="1" applyAlignment="1">
      <alignment horizontal="left"/>
    </xf>
    <xf numFmtId="0" fontId="36" fillId="0" borderId="0" xfId="0" applyFont="1"/>
    <xf numFmtId="0" fontId="18" fillId="0" borderId="1" xfId="0" applyFont="1" applyBorder="1" applyAlignment="1">
      <alignment horizontal="center" vertical="center"/>
    </xf>
    <xf numFmtId="1" fontId="30" fillId="0" borderId="1" xfId="0" applyNumberFormat="1" applyFont="1" applyBorder="1" applyAlignment="1">
      <alignment horizontal="center" wrapText="1"/>
    </xf>
    <xf numFmtId="0" fontId="30" fillId="0" borderId="1" xfId="0" applyFont="1" applyBorder="1" applyAlignment="1">
      <alignment wrapText="1"/>
    </xf>
    <xf numFmtId="0" fontId="25" fillId="0" borderId="3" xfId="0" applyFont="1" applyBorder="1" applyAlignment="1">
      <alignment horizontal="center" vertical="center"/>
    </xf>
    <xf numFmtId="0" fontId="25" fillId="0" borderId="1" xfId="0" applyFont="1" applyBorder="1" applyAlignment="1">
      <alignment horizontal="center" vertical="center"/>
    </xf>
    <xf numFmtId="0" fontId="46" fillId="0" borderId="0" xfId="0" applyFont="1" applyAlignment="1">
      <alignment horizontal="left" vertical="center"/>
    </xf>
    <xf numFmtId="0" fontId="18" fillId="0" borderId="0" xfId="0" applyFont="1"/>
    <xf numFmtId="0" fontId="7" fillId="0" borderId="0" xfId="0" applyFont="1" applyAlignment="1">
      <alignment horizontal="left" vertical="center"/>
    </xf>
    <xf numFmtId="1" fontId="30" fillId="0" borderId="1" xfId="0" applyNumberFormat="1" applyFont="1" applyBorder="1" applyAlignment="1">
      <alignment horizontal="left" vertical="center" wrapText="1"/>
    </xf>
    <xf numFmtId="1" fontId="30" fillId="0" borderId="1" xfId="0" applyNumberFormat="1" applyFont="1" applyBorder="1" applyAlignment="1">
      <alignment horizontal="center" vertical="center" wrapText="1"/>
    </xf>
    <xf numFmtId="0" fontId="30" fillId="0" borderId="1" xfId="0" applyFont="1" applyBorder="1" applyAlignment="1">
      <alignment vertical="center" wrapText="1"/>
    </xf>
    <xf numFmtId="0" fontId="5" fillId="5" borderId="1" xfId="0" applyFont="1" applyFill="1" applyBorder="1" applyAlignment="1">
      <alignment horizontal="center"/>
    </xf>
    <xf numFmtId="0" fontId="9" fillId="0" borderId="0" xfId="0" applyFont="1" applyAlignment="1">
      <alignment horizontal="left" vertical="center"/>
    </xf>
    <xf numFmtId="14" fontId="4" fillId="0" borderId="0" xfId="0" applyNumberFormat="1" applyFont="1" applyAlignment="1">
      <alignment horizontal="left"/>
    </xf>
    <xf numFmtId="14" fontId="0" fillId="0" borderId="0" xfId="0" applyNumberFormat="1"/>
    <xf numFmtId="0" fontId="30" fillId="13" borderId="1" xfId="0" applyFont="1" applyFill="1" applyBorder="1" applyAlignment="1">
      <alignment horizontal="center" vertical="center"/>
    </xf>
    <xf numFmtId="2" fontId="30" fillId="13" borderId="1" xfId="0" applyNumberFormat="1" applyFont="1" applyFill="1" applyBorder="1" applyAlignment="1">
      <alignment horizontal="center" vertical="center"/>
    </xf>
    <xf numFmtId="0" fontId="26" fillId="14" borderId="1" xfId="0" applyFont="1" applyFill="1" applyBorder="1" applyAlignment="1">
      <alignment horizontal="center" vertical="center"/>
    </xf>
    <xf numFmtId="0" fontId="30" fillId="14" borderId="1" xfId="0" applyFont="1" applyFill="1" applyBorder="1" applyAlignment="1">
      <alignment horizontal="center" vertical="center"/>
    </xf>
    <xf numFmtId="2" fontId="30" fillId="14" borderId="1" xfId="0" applyNumberFormat="1" applyFont="1" applyFill="1" applyBorder="1" applyAlignment="1">
      <alignment horizontal="center" vertical="center"/>
    </xf>
    <xf numFmtId="0" fontId="1" fillId="0" borderId="0" xfId="0" applyFont="1" applyAlignment="1">
      <alignment vertical="center"/>
    </xf>
    <xf numFmtId="0" fontId="5" fillId="0" borderId="0" xfId="0" applyFont="1"/>
    <xf numFmtId="0" fontId="19" fillId="0" borderId="0" xfId="0" applyFont="1" applyAlignment="1">
      <alignment vertical="center"/>
    </xf>
    <xf numFmtId="0" fontId="15" fillId="0" borderId="0" xfId="0" applyFont="1" applyAlignment="1">
      <alignment horizontal="left"/>
    </xf>
    <xf numFmtId="0" fontId="21" fillId="0" borderId="0" xfId="0" applyFont="1" applyAlignment="1">
      <alignment horizontal="right"/>
    </xf>
    <xf numFmtId="0" fontId="19" fillId="0" borderId="0" xfId="0" applyFont="1" applyAlignment="1">
      <alignment horizontal="left" vertical="center"/>
    </xf>
    <xf numFmtId="0" fontId="48" fillId="0" borderId="0" xfId="0" applyFont="1"/>
    <xf numFmtId="0" fontId="16" fillId="0" borderId="0" xfId="0" applyFont="1"/>
    <xf numFmtId="0" fontId="41" fillId="0" borderId="0" xfId="0" applyFont="1"/>
    <xf numFmtId="0" fontId="44" fillId="0" borderId="0" xfId="0" applyFont="1" applyAlignment="1">
      <alignment horizontal="center"/>
    </xf>
    <xf numFmtId="0" fontId="12" fillId="4" borderId="0" xfId="0" applyFont="1" applyFill="1" applyAlignment="1">
      <alignment vertical="center" wrapText="1"/>
    </xf>
    <xf numFmtId="1" fontId="5" fillId="0" borderId="1" xfId="0" applyNumberFormat="1" applyFont="1" applyBorder="1" applyAlignment="1">
      <alignment horizontal="center"/>
    </xf>
    <xf numFmtId="0" fontId="41" fillId="0" borderId="1" xfId="0" applyFont="1" applyBorder="1" applyAlignment="1">
      <alignment horizontal="center"/>
    </xf>
    <xf numFmtId="1" fontId="41" fillId="0" borderId="1" xfId="0" applyNumberFormat="1" applyFont="1" applyBorder="1" applyAlignment="1">
      <alignment horizontal="center"/>
    </xf>
    <xf numFmtId="0" fontId="41" fillId="0" borderId="2" xfId="0" applyFont="1" applyBorder="1" applyAlignment="1">
      <alignment horizontal="center"/>
    </xf>
    <xf numFmtId="1" fontId="5" fillId="5" borderId="1" xfId="0" applyNumberFormat="1" applyFont="1" applyFill="1" applyBorder="1" applyAlignment="1">
      <alignment horizontal="center"/>
    </xf>
    <xf numFmtId="0" fontId="5" fillId="2" borderId="1" xfId="0" applyFont="1" applyFill="1" applyBorder="1" applyAlignment="1">
      <alignment horizontal="center"/>
    </xf>
    <xf numFmtId="2" fontId="41" fillId="2" borderId="1" xfId="0" applyNumberFormat="1" applyFont="1" applyFill="1" applyBorder="1" applyAlignment="1">
      <alignment horizontal="center"/>
    </xf>
    <xf numFmtId="2" fontId="41" fillId="2" borderId="2" xfId="0" applyNumberFormat="1" applyFont="1" applyFill="1" applyBorder="1" applyAlignment="1">
      <alignment horizontal="center"/>
    </xf>
    <xf numFmtId="2" fontId="5" fillId="5" borderId="1" xfId="0" applyNumberFormat="1" applyFont="1" applyFill="1" applyBorder="1" applyAlignment="1">
      <alignment horizontal="center"/>
    </xf>
    <xf numFmtId="0" fontId="48" fillId="4" borderId="0" xfId="0" applyFont="1" applyFill="1" applyAlignment="1">
      <alignment vertical="center"/>
    </xf>
    <xf numFmtId="0" fontId="5" fillId="4" borderId="0" xfId="0" applyFont="1" applyFill="1" applyAlignment="1">
      <alignment vertical="center"/>
    </xf>
    <xf numFmtId="0" fontId="5" fillId="0" borderId="1" xfId="0" applyFont="1" applyBorder="1" applyAlignment="1">
      <alignment horizontal="center" vertical="center"/>
    </xf>
    <xf numFmtId="2" fontId="5" fillId="0" borderId="1" xfId="0" applyNumberFormat="1" applyFont="1" applyBorder="1" applyAlignment="1">
      <alignment horizontal="center" vertical="center"/>
    </xf>
    <xf numFmtId="0" fontId="5" fillId="0" borderId="1" xfId="0" applyFont="1" applyBorder="1" applyAlignment="1">
      <alignment horizontal="right" vertical="center"/>
    </xf>
    <xf numFmtId="2" fontId="5" fillId="11" borderId="1" xfId="0" applyNumberFormat="1" applyFont="1" applyFill="1" applyBorder="1" applyAlignment="1">
      <alignment horizontal="center" vertical="center"/>
    </xf>
    <xf numFmtId="0" fontId="4" fillId="0" borderId="0" xfId="0" applyFont="1" applyAlignment="1">
      <alignment horizontal="center"/>
    </xf>
    <xf numFmtId="0" fontId="13" fillId="0" borderId="0" xfId="0" applyFont="1" applyAlignment="1">
      <alignment horizontal="center" vertical="center"/>
    </xf>
    <xf numFmtId="0" fontId="12" fillId="2" borderId="1" xfId="0" applyFont="1" applyFill="1" applyBorder="1" applyAlignment="1">
      <alignment horizontal="center" vertical="center"/>
    </xf>
    <xf numFmtId="0" fontId="12" fillId="5" borderId="1" xfId="0" applyFont="1" applyFill="1" applyBorder="1" applyAlignment="1">
      <alignment horizontal="center" vertical="center"/>
    </xf>
    <xf numFmtId="1" fontId="12" fillId="2" borderId="1" xfId="0" applyNumberFormat="1" applyFont="1" applyFill="1" applyBorder="1" applyAlignment="1">
      <alignment horizontal="center" vertical="center"/>
    </xf>
    <xf numFmtId="2" fontId="4" fillId="2" borderId="1" xfId="0" applyNumberFormat="1" applyFont="1" applyFill="1" applyBorder="1" applyAlignment="1">
      <alignment horizontal="center" vertical="center"/>
    </xf>
    <xf numFmtId="0" fontId="49" fillId="0" borderId="1" xfId="0" applyFont="1" applyBorder="1" applyAlignment="1">
      <alignment horizontal="center" vertical="center"/>
    </xf>
    <xf numFmtId="2" fontId="49" fillId="5" borderId="1" xfId="0" applyNumberFormat="1" applyFont="1" applyFill="1" applyBorder="1" applyAlignment="1">
      <alignment horizontal="center" vertical="center"/>
    </xf>
    <xf numFmtId="0" fontId="15" fillId="0" borderId="0" xfId="0" applyFont="1" applyAlignment="1">
      <alignment horizontal="right"/>
    </xf>
    <xf numFmtId="0" fontId="19" fillId="0" borderId="0" xfId="0" applyFont="1" applyAlignment="1">
      <alignment horizontal="left"/>
    </xf>
    <xf numFmtId="0" fontId="15" fillId="0" borderId="0" xfId="0" applyFont="1"/>
    <xf numFmtId="14" fontId="37" fillId="0" borderId="0" xfId="0" applyNumberFormat="1" applyFont="1"/>
    <xf numFmtId="0" fontId="37" fillId="0" borderId="0" xfId="0" applyFont="1"/>
    <xf numFmtId="0" fontId="12" fillId="4" borderId="3" xfId="0" applyFont="1" applyFill="1" applyBorder="1" applyAlignment="1">
      <alignment horizontal="center"/>
    </xf>
    <xf numFmtId="0" fontId="12" fillId="4" borderId="9" xfId="0" applyFont="1" applyFill="1" applyBorder="1" applyAlignment="1">
      <alignment horizontal="center" vertical="center" wrapText="1"/>
    </xf>
    <xf numFmtId="0" fontId="51" fillId="0" borderId="0" xfId="2"/>
    <xf numFmtId="0" fontId="23" fillId="0" borderId="0" xfId="2" applyFont="1"/>
    <xf numFmtId="0" fontId="1" fillId="0" borderId="0" xfId="2" applyFont="1" applyAlignment="1">
      <alignment horizontal="center" vertical="center"/>
    </xf>
    <xf numFmtId="0" fontId="22" fillId="0" borderId="0" xfId="2" applyFont="1" applyAlignment="1">
      <alignment vertical="center"/>
    </xf>
    <xf numFmtId="0" fontId="21" fillId="0" borderId="0" xfId="2" applyFont="1"/>
    <xf numFmtId="0" fontId="1" fillId="0" borderId="0" xfId="2" applyFont="1" applyAlignment="1">
      <alignment horizontal="center"/>
    </xf>
    <xf numFmtId="0" fontId="6" fillId="0" borderId="0" xfId="2" applyFont="1"/>
    <xf numFmtId="0" fontId="1" fillId="0" borderId="1" xfId="2" applyFont="1" applyBorder="1" applyAlignment="1">
      <alignment horizontal="center" vertical="center"/>
    </xf>
    <xf numFmtId="0" fontId="52" fillId="0" borderId="1" xfId="2" applyFont="1" applyBorder="1" applyAlignment="1">
      <alignment horizontal="center" vertical="center"/>
    </xf>
    <xf numFmtId="1" fontId="30" fillId="0" borderId="1" xfId="2" applyNumberFormat="1" applyFont="1" applyBorder="1" applyAlignment="1">
      <alignment horizontal="center" vertical="center" wrapText="1"/>
    </xf>
    <xf numFmtId="0" fontId="30" fillId="0" borderId="1" xfId="2" applyFont="1" applyBorder="1" applyAlignment="1">
      <alignment horizontal="left" vertical="center" wrapText="1"/>
    </xf>
    <xf numFmtId="0" fontId="51" fillId="0" borderId="1" xfId="2" applyBorder="1" applyAlignment="1">
      <alignment horizontal="center" vertical="center"/>
    </xf>
    <xf numFmtId="0" fontId="47" fillId="0" borderId="1" xfId="2" applyFont="1" applyBorder="1" applyAlignment="1">
      <alignment horizontal="left" vertical="center" wrapText="1"/>
    </xf>
    <xf numFmtId="0" fontId="30" fillId="0" borderId="1" xfId="2" applyFont="1" applyBorder="1" applyAlignment="1">
      <alignment horizontal="left" vertical="center"/>
    </xf>
    <xf numFmtId="1" fontId="30" fillId="0" borderId="8" xfId="2" applyNumberFormat="1" applyFont="1" applyBorder="1" applyAlignment="1">
      <alignment horizontal="center" vertical="center" wrapText="1"/>
    </xf>
    <xf numFmtId="0" fontId="30" fillId="0" borderId="8" xfId="2" applyFont="1" applyBorder="1" applyAlignment="1">
      <alignment horizontal="left" vertical="center" wrapText="1"/>
    </xf>
    <xf numFmtId="1" fontId="30" fillId="0" borderId="1" xfId="2" applyNumberFormat="1" applyFont="1" applyBorder="1" applyAlignment="1">
      <alignment horizontal="center" vertical="center"/>
    </xf>
    <xf numFmtId="0" fontId="30" fillId="0" borderId="1" xfId="2" applyFont="1" applyBorder="1" applyAlignment="1">
      <alignment vertical="center"/>
    </xf>
    <xf numFmtId="0" fontId="51" fillId="0" borderId="3" xfId="2" applyBorder="1" applyAlignment="1">
      <alignment horizontal="center" vertical="center"/>
    </xf>
    <xf numFmtId="14" fontId="52" fillId="0" borderId="1" xfId="2" applyNumberFormat="1" applyFont="1" applyBorder="1" applyAlignment="1">
      <alignment horizontal="left" vertical="center"/>
    </xf>
    <xf numFmtId="0" fontId="52" fillId="0" borderId="1" xfId="2" applyFont="1" applyBorder="1" applyAlignment="1">
      <alignment horizontal="left" vertical="center"/>
    </xf>
    <xf numFmtId="0" fontId="53" fillId="0" borderId="1" xfId="2" applyFont="1" applyBorder="1" applyAlignment="1">
      <alignment horizontal="left" vertical="center"/>
    </xf>
    <xf numFmtId="0" fontId="12" fillId="4" borderId="3" xfId="0" applyFont="1" applyFill="1" applyBorder="1" applyAlignment="1">
      <alignment horizontal="center" vertical="center" wrapText="1"/>
    </xf>
    <xf numFmtId="0" fontId="54" fillId="14" borderId="1" xfId="0" applyFont="1" applyFill="1" applyBorder="1" applyAlignment="1">
      <alignment horizontal="center"/>
    </xf>
    <xf numFmtId="0" fontId="54" fillId="13" borderId="1" xfId="0" applyFont="1" applyFill="1" applyBorder="1" applyAlignment="1">
      <alignment horizontal="center"/>
    </xf>
    <xf numFmtId="0" fontId="5" fillId="18" borderId="8" xfId="0" applyFont="1" applyFill="1" applyBorder="1" applyAlignment="1">
      <alignment horizontal="center" vertical="center" wrapText="1"/>
    </xf>
    <xf numFmtId="0" fontId="0" fillId="18" borderId="1" xfId="0" applyFill="1" applyBorder="1" applyAlignment="1">
      <alignment horizontal="center"/>
    </xf>
    <xf numFmtId="0" fontId="5" fillId="9" borderId="8" xfId="0" applyFont="1" applyFill="1" applyBorder="1" applyAlignment="1">
      <alignment horizontal="center" vertical="center" wrapText="1"/>
    </xf>
    <xf numFmtId="0" fontId="0" fillId="9" borderId="1" xfId="0" applyFill="1" applyBorder="1" applyAlignment="1">
      <alignment horizontal="center"/>
    </xf>
    <xf numFmtId="0" fontId="5" fillId="13" borderId="8" xfId="0" applyFont="1" applyFill="1" applyBorder="1" applyAlignment="1">
      <alignment horizontal="center" vertical="center" wrapText="1"/>
    </xf>
    <xf numFmtId="0" fontId="0" fillId="13" borderId="1" xfId="0" applyFill="1" applyBorder="1" applyAlignment="1">
      <alignment horizontal="center"/>
    </xf>
    <xf numFmtId="0" fontId="41" fillId="16" borderId="8" xfId="0" applyFont="1" applyFill="1" applyBorder="1" applyAlignment="1">
      <alignment horizontal="center" vertical="center" wrapText="1"/>
    </xf>
    <xf numFmtId="0" fontId="9" fillId="0" borderId="0" xfId="0" applyFont="1" applyAlignment="1">
      <alignment vertical="center"/>
    </xf>
    <xf numFmtId="0" fontId="45" fillId="0" borderId="0" xfId="0" applyFont="1" applyAlignment="1">
      <alignment horizontal="left" vertical="center"/>
    </xf>
    <xf numFmtId="0" fontId="3" fillId="16" borderId="1" xfId="0" applyFont="1" applyFill="1" applyBorder="1" applyAlignment="1">
      <alignment horizontal="center"/>
    </xf>
    <xf numFmtId="0" fontId="0" fillId="0" borderId="2" xfId="0" applyBorder="1"/>
    <xf numFmtId="0" fontId="1" fillId="0" borderId="2" xfId="0" applyFont="1" applyBorder="1" applyAlignment="1">
      <alignment horizontal="center" vertical="center"/>
    </xf>
    <xf numFmtId="0" fontId="1" fillId="0" borderId="0" xfId="0" applyFont="1" applyAlignment="1">
      <alignment horizontal="left" vertical="center"/>
    </xf>
    <xf numFmtId="0" fontId="4" fillId="2" borderId="11" xfId="0" applyFont="1" applyFill="1" applyBorder="1" applyAlignment="1">
      <alignment horizontal="center" vertical="center"/>
    </xf>
    <xf numFmtId="0" fontId="55" fillId="0" borderId="0" xfId="0" applyFont="1"/>
    <xf numFmtId="0" fontId="3" fillId="12" borderId="1" xfId="0" applyFont="1" applyFill="1" applyBorder="1"/>
    <xf numFmtId="0" fontId="3" fillId="12" borderId="1" xfId="0" applyFont="1" applyFill="1" applyBorder="1" applyAlignment="1">
      <alignment horizontal="center"/>
    </xf>
    <xf numFmtId="0" fontId="35" fillId="2" borderId="11" xfId="0" applyFont="1" applyFill="1" applyBorder="1" applyAlignment="1" applyProtection="1">
      <alignment horizontal="center" vertical="center"/>
      <protection locked="0"/>
    </xf>
    <xf numFmtId="0" fontId="35" fillId="2" borderId="11" xfId="0" applyFont="1" applyFill="1" applyBorder="1" applyAlignment="1" applyProtection="1">
      <alignment horizontal="center" vertical="center" wrapText="1"/>
      <protection locked="0"/>
    </xf>
    <xf numFmtId="0" fontId="7" fillId="2" borderId="7" xfId="0" applyFont="1" applyFill="1" applyBorder="1" applyAlignment="1" applyProtection="1">
      <alignment horizontal="center" vertical="center"/>
      <protection locked="0"/>
    </xf>
    <xf numFmtId="0" fontId="7" fillId="2" borderId="11" xfId="0" applyFont="1" applyFill="1" applyBorder="1" applyAlignment="1" applyProtection="1">
      <alignment horizontal="center" vertical="center"/>
      <protection locked="0"/>
    </xf>
    <xf numFmtId="1" fontId="0" fillId="0" borderId="1" xfId="0" applyNumberFormat="1" applyBorder="1" applyAlignment="1">
      <alignment horizontal="center"/>
    </xf>
    <xf numFmtId="0" fontId="4" fillId="4" borderId="1" xfId="0" applyFont="1" applyFill="1" applyBorder="1" applyAlignment="1">
      <alignment horizontal="center" vertical="center"/>
    </xf>
    <xf numFmtId="0" fontId="37" fillId="0" borderId="1" xfId="0" applyFont="1" applyBorder="1" applyAlignment="1">
      <alignment horizontal="center"/>
    </xf>
    <xf numFmtId="0" fontId="0" fillId="0" borderId="1" xfId="0" applyBorder="1" applyAlignment="1">
      <alignment horizontal="left"/>
    </xf>
    <xf numFmtId="0" fontId="15" fillId="0" borderId="3" xfId="0" applyFont="1" applyBorder="1" applyAlignment="1">
      <alignment horizontal="right"/>
    </xf>
    <xf numFmtId="0" fontId="15" fillId="4" borderId="1" xfId="0" applyFont="1" applyFill="1" applyBorder="1" applyAlignment="1">
      <alignment horizontal="center"/>
    </xf>
    <xf numFmtId="0" fontId="15" fillId="11" borderId="1" xfId="0" applyFont="1" applyFill="1" applyBorder="1" applyAlignment="1">
      <alignment horizontal="center"/>
    </xf>
    <xf numFmtId="0" fontId="15" fillId="0" borderId="1" xfId="0" applyFont="1" applyBorder="1" applyAlignment="1">
      <alignment horizontal="right"/>
    </xf>
    <xf numFmtId="0" fontId="4" fillId="0" borderId="0" xfId="0" applyFont="1" applyAlignment="1">
      <alignment vertical="center"/>
    </xf>
    <xf numFmtId="1" fontId="0" fillId="0" borderId="1" xfId="0" applyNumberFormat="1" applyBorder="1" applyAlignment="1">
      <alignment horizontal="left" vertical="center"/>
    </xf>
    <xf numFmtId="0" fontId="5" fillId="2" borderId="1" xfId="0" applyFont="1" applyFill="1" applyBorder="1" applyAlignment="1">
      <alignment horizontal="right" vertical="center"/>
    </xf>
    <xf numFmtId="0" fontId="5" fillId="0" borderId="0" xfId="0" applyFont="1" applyAlignment="1">
      <alignment vertical="center"/>
    </xf>
    <xf numFmtId="0" fontId="16"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right" vertical="center"/>
    </xf>
    <xf numFmtId="0" fontId="0" fillId="0" borderId="0" xfId="0" applyAlignment="1">
      <alignment vertical="center"/>
    </xf>
    <xf numFmtId="0" fontId="12" fillId="0" borderId="1" xfId="0" applyFont="1" applyBorder="1" applyAlignment="1">
      <alignment horizontal="left" vertical="center"/>
    </xf>
    <xf numFmtId="0" fontId="12" fillId="4" borderId="1" xfId="0" applyFont="1" applyFill="1" applyBorder="1" applyAlignment="1">
      <alignment horizontal="left"/>
    </xf>
    <xf numFmtId="10" fontId="52" fillId="0" borderId="1" xfId="4" applyNumberFormat="1" applyFont="1" applyBorder="1" applyAlignment="1">
      <alignment horizontal="left" vertical="center"/>
    </xf>
    <xf numFmtId="0" fontId="4" fillId="0" borderId="0" xfId="0" applyFont="1" applyAlignment="1">
      <alignment horizontal="center" vertical="center" wrapText="1"/>
    </xf>
    <xf numFmtId="0" fontId="3" fillId="0" borderId="0" xfId="0" applyFont="1" applyAlignment="1">
      <alignment horizontal="center" vertical="center"/>
    </xf>
    <xf numFmtId="0" fontId="54" fillId="4" borderId="1" xfId="0" applyFont="1" applyFill="1" applyBorder="1" applyAlignment="1">
      <alignment horizontal="center"/>
    </xf>
    <xf numFmtId="0" fontId="56" fillId="2" borderId="1" xfId="0" applyFont="1" applyFill="1" applyBorder="1" applyAlignment="1">
      <alignment horizontal="center" vertical="center" wrapText="1"/>
    </xf>
    <xf numFmtId="0" fontId="12" fillId="4" borderId="1" xfId="0" applyFont="1" applyFill="1" applyBorder="1" applyAlignment="1">
      <alignment horizontal="right" vertical="center"/>
    </xf>
    <xf numFmtId="0" fontId="12" fillId="4" borderId="3" xfId="0" applyFont="1" applyFill="1" applyBorder="1" applyAlignment="1">
      <alignment horizontal="right" vertical="center"/>
    </xf>
    <xf numFmtId="0" fontId="3" fillId="4" borderId="0" xfId="0" applyFont="1" applyFill="1" applyAlignment="1">
      <alignment horizontal="center"/>
    </xf>
    <xf numFmtId="0" fontId="3" fillId="4" borderId="1" xfId="0" applyFont="1" applyFill="1" applyBorder="1" applyAlignment="1">
      <alignment horizontal="center"/>
    </xf>
    <xf numFmtId="0" fontId="5" fillId="4" borderId="2" xfId="0" applyFont="1" applyFill="1" applyBorder="1" applyAlignment="1">
      <alignment horizontal="center" vertical="center" wrapText="1"/>
    </xf>
    <xf numFmtId="0" fontId="5" fillId="4" borderId="2" xfId="0" applyFont="1" applyFill="1" applyBorder="1" applyAlignment="1">
      <alignment horizontal="center" vertical="center"/>
    </xf>
    <xf numFmtId="0" fontId="19" fillId="4" borderId="11"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8" xfId="0" applyFont="1" applyFill="1" applyBorder="1" applyAlignment="1">
      <alignment horizontal="center" vertical="center" wrapText="1"/>
    </xf>
    <xf numFmtId="0" fontId="30" fillId="4" borderId="1" xfId="0" applyFont="1" applyFill="1" applyBorder="1" applyAlignment="1">
      <alignment wrapText="1"/>
    </xf>
    <xf numFmtId="0" fontId="0" fillId="4" borderId="3" xfId="0" applyFill="1" applyBorder="1" applyAlignment="1">
      <alignment horizontal="center"/>
    </xf>
    <xf numFmtId="0" fontId="25" fillId="4" borderId="3" xfId="0" applyFont="1" applyFill="1" applyBorder="1" applyAlignment="1">
      <alignment horizontal="center" vertical="center"/>
    </xf>
    <xf numFmtId="0" fontId="0" fillId="4" borderId="1" xfId="0" applyFill="1" applyBorder="1" applyAlignment="1">
      <alignment horizontal="center"/>
    </xf>
    <xf numFmtId="0" fontId="0" fillId="4" borderId="0" xfId="0" applyFill="1" applyAlignment="1">
      <alignment horizontal="center"/>
    </xf>
    <xf numFmtId="0" fontId="0" fillId="4" borderId="1" xfId="0" applyFill="1" applyBorder="1" applyAlignment="1">
      <alignment horizontal="center"/>
    </xf>
    <xf numFmtId="0" fontId="4" fillId="4" borderId="8" xfId="0" applyFont="1" applyFill="1" applyBorder="1" applyAlignment="1">
      <alignment horizontal="center" vertical="center" wrapText="1"/>
    </xf>
    <xf numFmtId="0" fontId="4" fillId="4" borderId="8" xfId="0" applyFont="1" applyFill="1" applyBorder="1" applyAlignment="1">
      <alignment horizontal="center" vertical="center"/>
    </xf>
    <xf numFmtId="0" fontId="4" fillId="4" borderId="10" xfId="0" applyFont="1" applyFill="1" applyBorder="1" applyAlignment="1">
      <alignment horizontal="center" vertical="center" wrapText="1"/>
    </xf>
    <xf numFmtId="0" fontId="4" fillId="4" borderId="10"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7" xfId="0" applyFont="1" applyFill="1" applyBorder="1" applyAlignment="1">
      <alignment horizontal="center" vertical="center"/>
    </xf>
    <xf numFmtId="0" fontId="6" fillId="4" borderId="1" xfId="0" applyFont="1" applyFill="1" applyBorder="1" applyAlignment="1">
      <alignment horizontal="center" vertical="center"/>
    </xf>
    <xf numFmtId="1" fontId="30" fillId="4" borderId="1" xfId="0" applyNumberFormat="1" applyFont="1" applyFill="1" applyBorder="1" applyAlignment="1">
      <alignment horizontal="center" vertical="center" wrapText="1"/>
    </xf>
    <xf numFmtId="1" fontId="30" fillId="4" borderId="1" xfId="0" applyNumberFormat="1" applyFont="1" applyFill="1" applyBorder="1" applyAlignment="1">
      <alignment horizontal="left" vertical="center" wrapText="1"/>
    </xf>
    <xf numFmtId="0" fontId="25" fillId="4" borderId="1" xfId="0" applyFont="1" applyFill="1" applyBorder="1" applyAlignment="1">
      <alignment horizontal="center" vertical="center"/>
    </xf>
    <xf numFmtId="0" fontId="0" fillId="4" borderId="8" xfId="0" applyFill="1" applyBorder="1" applyAlignment="1">
      <alignment horizontal="center"/>
    </xf>
    <xf numFmtId="164" fontId="0" fillId="4" borderId="1" xfId="0" applyNumberFormat="1" applyFill="1" applyBorder="1" applyAlignment="1">
      <alignment horizontal="center"/>
    </xf>
    <xf numFmtId="0" fontId="15" fillId="4" borderId="1" xfId="0" applyFont="1" applyFill="1" applyBorder="1" applyAlignment="1">
      <alignment horizontal="center" vertical="center"/>
    </xf>
    <xf numFmtId="0" fontId="14" fillId="4" borderId="1" xfId="0" applyFont="1" applyFill="1" applyBorder="1" applyAlignment="1">
      <alignment horizontal="center" vertical="center"/>
    </xf>
    <xf numFmtId="0" fontId="41"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1" xfId="0" applyFont="1" applyFill="1" applyBorder="1" applyAlignment="1" applyProtection="1">
      <alignment horizontal="center" vertical="center"/>
      <protection locked="0"/>
    </xf>
    <xf numFmtId="0" fontId="7" fillId="4" borderId="1" xfId="0" applyFont="1" applyFill="1" applyBorder="1" applyAlignment="1">
      <alignment horizontal="center" vertical="center"/>
    </xf>
    <xf numFmtId="0" fontId="15" fillId="4" borderId="11" xfId="0" applyFont="1" applyFill="1" applyBorder="1" applyAlignment="1">
      <alignment horizontal="center" vertical="center"/>
    </xf>
    <xf numFmtId="0" fontId="7" fillId="4" borderId="11" xfId="0" applyFont="1" applyFill="1" applyBorder="1" applyAlignment="1" applyProtection="1">
      <alignment horizontal="center" vertical="center"/>
      <protection locked="0"/>
    </xf>
    <xf numFmtId="0" fontId="7" fillId="4" borderId="2" xfId="0" applyFont="1" applyFill="1" applyBorder="1" applyAlignment="1">
      <alignment horizontal="center" vertical="center"/>
    </xf>
    <xf numFmtId="0" fontId="18" fillId="4" borderId="1" xfId="0" applyFont="1" applyFill="1" applyBorder="1" applyAlignment="1">
      <alignment horizontal="center"/>
    </xf>
    <xf numFmtId="1" fontId="45" fillId="4" borderId="11" xfId="0" applyNumberFormat="1" applyFont="1" applyFill="1" applyBorder="1" applyAlignment="1" applyProtection="1">
      <alignment horizontal="center" vertical="center"/>
      <protection locked="0"/>
    </xf>
    <xf numFmtId="164" fontId="45" fillId="4" borderId="11" xfId="0" applyNumberFormat="1" applyFont="1" applyFill="1" applyBorder="1" applyAlignment="1" applyProtection="1">
      <alignment horizontal="center" vertical="center"/>
      <protection locked="0"/>
    </xf>
    <xf numFmtId="0" fontId="22" fillId="4" borderId="1" xfId="0" applyFont="1" applyFill="1" applyBorder="1" applyAlignment="1">
      <alignment horizontal="center" vertical="center"/>
    </xf>
    <xf numFmtId="1" fontId="26" fillId="4" borderId="1" xfId="0" applyNumberFormat="1" applyFont="1" applyFill="1" applyBorder="1" applyAlignment="1">
      <alignment horizontal="center" vertical="center"/>
    </xf>
    <xf numFmtId="0" fontId="30" fillId="4" borderId="1" xfId="0" applyFont="1" applyFill="1" applyBorder="1" applyAlignment="1">
      <alignment horizontal="center"/>
    </xf>
    <xf numFmtId="2" fontId="30" fillId="4" borderId="1" xfId="0" applyNumberFormat="1" applyFont="1" applyFill="1" applyBorder="1" applyAlignment="1">
      <alignment horizontal="center"/>
    </xf>
    <xf numFmtId="0" fontId="26" fillId="4" borderId="1" xfId="0" applyFont="1" applyFill="1" applyBorder="1" applyAlignment="1">
      <alignment horizontal="center"/>
    </xf>
    <xf numFmtId="0" fontId="54" fillId="4" borderId="1" xfId="0" applyFont="1" applyFill="1" applyBorder="1" applyAlignment="1">
      <alignment horizontal="center" vertical="center"/>
    </xf>
    <xf numFmtId="0" fontId="28" fillId="4" borderId="1" xfId="0" applyFont="1" applyFill="1" applyBorder="1" applyAlignment="1">
      <alignment horizontal="center" vertical="center"/>
    </xf>
    <xf numFmtId="0" fontId="30" fillId="4" borderId="1" xfId="0" applyFont="1" applyFill="1" applyBorder="1" applyAlignment="1">
      <alignment horizontal="center" vertical="center"/>
    </xf>
    <xf numFmtId="2" fontId="30" fillId="4" borderId="1" xfId="0" applyNumberFormat="1" applyFont="1" applyFill="1" applyBorder="1" applyAlignment="1">
      <alignment horizontal="center" vertical="center"/>
    </xf>
    <xf numFmtId="0" fontId="0" fillId="4" borderId="1" xfId="0" applyFill="1" applyBorder="1"/>
    <xf numFmtId="0" fontId="26" fillId="4" borderId="1" xfId="0" applyFont="1" applyFill="1" applyBorder="1" applyAlignment="1">
      <alignment horizontal="center" vertical="center"/>
    </xf>
    <xf numFmtId="0" fontId="0" fillId="4" borderId="1" xfId="0" applyFill="1" applyBorder="1" applyAlignment="1">
      <alignment horizontal="center"/>
    </xf>
    <xf numFmtId="0" fontId="3" fillId="4" borderId="1" xfId="0" applyFont="1" applyFill="1" applyBorder="1" applyAlignment="1">
      <alignment vertical="center"/>
    </xf>
    <xf numFmtId="0" fontId="13" fillId="4" borderId="1" xfId="0" applyFont="1" applyFill="1" applyBorder="1" applyAlignment="1">
      <alignment horizontal="center" vertical="center"/>
    </xf>
    <xf numFmtId="0" fontId="11" fillId="4" borderId="1" xfId="0" applyFont="1" applyFill="1" applyBorder="1" applyAlignment="1">
      <alignment horizontal="center" vertical="center" wrapText="1"/>
    </xf>
    <xf numFmtId="0" fontId="4" fillId="4" borderId="13" xfId="0" applyFont="1" applyFill="1" applyBorder="1" applyAlignment="1">
      <alignment horizontal="center" vertical="center" wrapText="1"/>
    </xf>
    <xf numFmtId="2" fontId="3" fillId="4" borderId="1" xfId="0" applyNumberFormat="1" applyFont="1" applyFill="1" applyBorder="1" applyAlignment="1">
      <alignment horizontal="center" vertical="center"/>
    </xf>
    <xf numFmtId="0" fontId="39" fillId="0" borderId="2" xfId="0" applyFont="1" applyBorder="1" applyAlignment="1">
      <alignment horizontal="left"/>
    </xf>
    <xf numFmtId="0" fontId="39" fillId="0" borderId="9" xfId="0" applyFont="1" applyBorder="1" applyAlignment="1">
      <alignment horizontal="left"/>
    </xf>
    <xf numFmtId="0" fontId="39" fillId="0" borderId="3" xfId="0" applyFont="1" applyBorder="1" applyAlignment="1">
      <alignment horizontal="left"/>
    </xf>
    <xf numFmtId="0" fontId="32" fillId="0" borderId="2" xfId="0" applyFont="1" applyBorder="1" applyAlignment="1">
      <alignment horizontal="right" vertical="center"/>
    </xf>
    <xf numFmtId="0" fontId="32" fillId="0" borderId="9" xfId="0" applyFont="1" applyBorder="1" applyAlignment="1">
      <alignment horizontal="right" vertical="center"/>
    </xf>
    <xf numFmtId="0" fontId="32" fillId="0" borderId="3" xfId="0" applyFont="1" applyBorder="1" applyAlignment="1">
      <alignment horizontal="right" vertical="center"/>
    </xf>
    <xf numFmtId="0" fontId="29" fillId="0" borderId="9" xfId="0" applyFont="1" applyBorder="1" applyAlignment="1">
      <alignment horizontal="center"/>
    </xf>
    <xf numFmtId="0" fontId="29" fillId="0" borderId="3" xfId="0" applyFont="1" applyBorder="1" applyAlignment="1">
      <alignment horizontal="center"/>
    </xf>
    <xf numFmtId="0" fontId="38" fillId="0" borderId="2" xfId="0" applyFont="1" applyBorder="1" applyAlignment="1">
      <alignment horizontal="center"/>
    </xf>
    <xf numFmtId="0" fontId="38" fillId="0" borderId="9" xfId="0" applyFont="1" applyBorder="1" applyAlignment="1">
      <alignment horizontal="center"/>
    </xf>
    <xf numFmtId="0" fontId="38" fillId="0" borderId="3" xfId="0" applyFont="1" applyBorder="1" applyAlignment="1">
      <alignment horizontal="center"/>
    </xf>
    <xf numFmtId="0" fontId="27" fillId="4" borderId="8" xfId="0" applyFont="1" applyFill="1" applyBorder="1" applyAlignment="1">
      <alignment horizontal="center" vertical="center" wrapText="1"/>
    </xf>
    <xf numFmtId="0" fontId="27" fillId="4" borderId="11" xfId="0" applyFont="1" applyFill="1" applyBorder="1" applyAlignment="1">
      <alignment horizontal="center" vertical="center"/>
    </xf>
    <xf numFmtId="0" fontId="26" fillId="4" borderId="8" xfId="0" applyFont="1" applyFill="1" applyBorder="1" applyAlignment="1">
      <alignment horizontal="center" vertical="center" wrapText="1"/>
    </xf>
    <xf numFmtId="0" fontId="26" fillId="4" borderId="11" xfId="0" applyFont="1" applyFill="1" applyBorder="1" applyAlignment="1">
      <alignment horizontal="center" vertical="center"/>
    </xf>
    <xf numFmtId="0" fontId="22" fillId="0" borderId="8" xfId="0" applyFont="1" applyBorder="1" applyAlignment="1">
      <alignment horizontal="center" vertical="center" textRotation="90" wrapText="1"/>
    </xf>
    <xf numFmtId="0" fontId="22" fillId="0" borderId="10" xfId="0" applyFont="1" applyBorder="1" applyAlignment="1">
      <alignment horizontal="center" vertical="center" textRotation="90" wrapText="1"/>
    </xf>
    <xf numFmtId="0" fontId="22" fillId="0" borderId="11" xfId="0" applyFont="1" applyBorder="1" applyAlignment="1">
      <alignment horizontal="center" vertical="center" textRotation="90" wrapText="1"/>
    </xf>
    <xf numFmtId="0" fontId="31" fillId="0" borderId="8" xfId="0" applyFont="1" applyBorder="1" applyAlignment="1">
      <alignment horizontal="center" vertical="center" textRotation="90" wrapText="1"/>
    </xf>
    <xf numFmtId="0" fontId="31" fillId="0" borderId="10" xfId="0" applyFont="1" applyBorder="1" applyAlignment="1">
      <alignment horizontal="center" vertical="center" textRotation="90" wrapText="1"/>
    </xf>
    <xf numFmtId="0" fontId="31" fillId="0" borderId="11" xfId="0" applyFont="1" applyBorder="1" applyAlignment="1">
      <alignment horizontal="center" vertical="center" textRotation="90" wrapText="1"/>
    </xf>
    <xf numFmtId="14" fontId="30" fillId="0" borderId="9" xfId="0" applyNumberFormat="1" applyFont="1" applyBorder="1" applyAlignment="1">
      <alignment horizontal="center"/>
    </xf>
    <xf numFmtId="0" fontId="30" fillId="0" borderId="3" xfId="0" applyFont="1" applyBorder="1" applyAlignment="1">
      <alignment horizontal="center"/>
    </xf>
    <xf numFmtId="0" fontId="22" fillId="0" borderId="0" xfId="0" applyFont="1" applyAlignment="1">
      <alignment horizontal="left" vertical="center"/>
    </xf>
    <xf numFmtId="0" fontId="22" fillId="0" borderId="8" xfId="0" applyFont="1" applyBorder="1" applyAlignment="1">
      <alignment horizontal="center" vertical="center"/>
    </xf>
    <xf numFmtId="0" fontId="22" fillId="0" borderId="11" xfId="0" applyFont="1" applyBorder="1" applyAlignment="1">
      <alignment horizontal="center" vertical="center"/>
    </xf>
    <xf numFmtId="0" fontId="26" fillId="4" borderId="8" xfId="0" applyFont="1" applyFill="1" applyBorder="1" applyAlignment="1">
      <alignment horizontal="center" vertical="center"/>
    </xf>
    <xf numFmtId="0" fontId="22" fillId="4" borderId="2" xfId="0" applyFont="1" applyFill="1" applyBorder="1" applyAlignment="1">
      <alignment horizontal="center" vertical="center"/>
    </xf>
    <xf numFmtId="0" fontId="22" fillId="4" borderId="9" xfId="0" applyFont="1" applyFill="1" applyBorder="1" applyAlignment="1">
      <alignment horizontal="center" vertical="center"/>
    </xf>
    <xf numFmtId="0" fontId="22" fillId="4" borderId="3" xfId="0" applyFont="1" applyFill="1" applyBorder="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27" fillId="4" borderId="8" xfId="0" applyFont="1" applyFill="1" applyBorder="1" applyAlignment="1">
      <alignment horizontal="center" wrapText="1"/>
    </xf>
    <xf numFmtId="0" fontId="27" fillId="4" borderId="11" xfId="0" applyFont="1" applyFill="1" applyBorder="1" applyAlignment="1">
      <alignment horizontal="center"/>
    </xf>
    <xf numFmtId="0" fontId="26" fillId="4" borderId="8" xfId="0" applyFont="1" applyFill="1" applyBorder="1" applyAlignment="1">
      <alignment horizontal="center" wrapText="1"/>
    </xf>
    <xf numFmtId="0" fontId="26" fillId="4" borderId="11" xfId="0" applyFont="1" applyFill="1" applyBorder="1" applyAlignment="1">
      <alignment horizontal="center"/>
    </xf>
    <xf numFmtId="0" fontId="22" fillId="4" borderId="8" xfId="0" applyFont="1" applyFill="1" applyBorder="1" applyAlignment="1">
      <alignment horizontal="center" vertical="center" textRotation="90" wrapText="1"/>
    </xf>
    <xf numFmtId="0" fontId="22" fillId="4" borderId="10" xfId="0" applyFont="1" applyFill="1" applyBorder="1" applyAlignment="1">
      <alignment horizontal="center" vertical="center" textRotation="90" wrapText="1"/>
    </xf>
    <xf numFmtId="0" fontId="22" fillId="4" borderId="11" xfId="0" applyFont="1" applyFill="1" applyBorder="1" applyAlignment="1">
      <alignment horizontal="center" vertical="center" textRotation="90" wrapText="1"/>
    </xf>
    <xf numFmtId="0" fontId="31" fillId="4" borderId="8" xfId="0" applyFont="1" applyFill="1" applyBorder="1" applyAlignment="1">
      <alignment horizontal="center" vertical="center" textRotation="90" wrapText="1"/>
    </xf>
    <xf numFmtId="0" fontId="31" fillId="4" borderId="10" xfId="0" applyFont="1" applyFill="1" applyBorder="1" applyAlignment="1">
      <alignment horizontal="center" vertical="center" textRotation="90" wrapText="1"/>
    </xf>
    <xf numFmtId="0" fontId="31" fillId="4" borderId="11" xfId="0" applyFont="1" applyFill="1" applyBorder="1" applyAlignment="1">
      <alignment horizontal="center" vertical="center" textRotation="90" wrapText="1"/>
    </xf>
    <xf numFmtId="0" fontId="22" fillId="0" borderId="0" xfId="0" applyFont="1" applyAlignment="1">
      <alignment vertical="center"/>
    </xf>
    <xf numFmtId="0" fontId="22" fillId="4" borderId="8" xfId="0" applyFont="1" applyFill="1" applyBorder="1" applyAlignment="1">
      <alignment horizontal="center" vertical="center"/>
    </xf>
    <xf numFmtId="0" fontId="22" fillId="4" borderId="11" xfId="0" applyFont="1" applyFill="1" applyBorder="1" applyAlignment="1">
      <alignment horizontal="center" vertical="center"/>
    </xf>
    <xf numFmtId="0" fontId="26" fillId="4" borderId="11" xfId="0" applyFont="1" applyFill="1" applyBorder="1" applyAlignment="1">
      <alignment horizontal="center" vertical="center" wrapText="1"/>
    </xf>
    <xf numFmtId="0" fontId="27" fillId="15" borderId="8" xfId="0" applyFont="1" applyFill="1" applyBorder="1" applyAlignment="1">
      <alignment horizontal="center" vertical="center" wrapText="1"/>
    </xf>
    <xf numFmtId="0" fontId="27" fillId="15" borderId="11" xfId="0" applyFont="1" applyFill="1" applyBorder="1" applyAlignment="1">
      <alignment horizontal="center" vertical="center"/>
    </xf>
    <xf numFmtId="0" fontId="26" fillId="15" borderId="8" xfId="0" applyFont="1" applyFill="1" applyBorder="1" applyAlignment="1">
      <alignment horizontal="center" vertical="center" wrapText="1"/>
    </xf>
    <xf numFmtId="0" fontId="26" fillId="15" borderId="11" xfId="0" applyFont="1" applyFill="1" applyBorder="1" applyAlignment="1">
      <alignment horizontal="center" vertical="center"/>
    </xf>
    <xf numFmtId="0" fontId="26" fillId="0" borderId="8" xfId="0" applyFont="1" applyBorder="1" applyAlignment="1">
      <alignment horizontal="center" vertical="center" wrapText="1"/>
    </xf>
    <xf numFmtId="0" fontId="26" fillId="0" borderId="11" xfId="0" applyFont="1" applyBorder="1" applyAlignment="1">
      <alignment horizontal="center" vertical="center" wrapText="1"/>
    </xf>
    <xf numFmtId="0" fontId="22" fillId="8" borderId="2" xfId="0" applyFont="1" applyFill="1" applyBorder="1" applyAlignment="1">
      <alignment horizontal="center" vertical="center"/>
    </xf>
    <xf numFmtId="0" fontId="22" fillId="8" borderId="9" xfId="0" applyFont="1" applyFill="1" applyBorder="1" applyAlignment="1">
      <alignment horizontal="center" vertical="center"/>
    </xf>
    <xf numFmtId="0" fontId="22" fillId="8" borderId="3" xfId="0" applyFont="1" applyFill="1" applyBorder="1" applyAlignment="1">
      <alignment horizontal="center" vertical="center"/>
    </xf>
    <xf numFmtId="0" fontId="22" fillId="9" borderId="2" xfId="0" applyFont="1" applyFill="1" applyBorder="1" applyAlignment="1">
      <alignment horizontal="center" vertical="center"/>
    </xf>
    <xf numFmtId="0" fontId="22" fillId="9" borderId="9" xfId="0" applyFont="1" applyFill="1" applyBorder="1" applyAlignment="1">
      <alignment horizontal="center" vertical="center"/>
    </xf>
    <xf numFmtId="0" fontId="53" fillId="0" borderId="1" xfId="2" applyFont="1" applyBorder="1" applyAlignment="1">
      <alignment horizontal="left" vertical="center"/>
    </xf>
    <xf numFmtId="0" fontId="25" fillId="0" borderId="2" xfId="2" applyFont="1" applyBorder="1" applyAlignment="1">
      <alignment horizontal="center" vertical="center"/>
    </xf>
    <xf numFmtId="0" fontId="25" fillId="0" borderId="3" xfId="2" applyFont="1" applyBorder="1" applyAlignment="1">
      <alignment horizontal="center" vertical="center"/>
    </xf>
    <xf numFmtId="0" fontId="22" fillId="0" borderId="0" xfId="2" applyFont="1" applyAlignment="1">
      <alignment vertical="center"/>
    </xf>
    <xf numFmtId="0" fontId="1" fillId="0" borderId="1" xfId="2" applyFont="1" applyBorder="1" applyAlignment="1">
      <alignment horizontal="center" vertical="center"/>
    </xf>
    <xf numFmtId="0" fontId="22" fillId="0" borderId="1" xfId="2" applyFont="1" applyBorder="1" applyAlignment="1">
      <alignment horizontal="center" vertical="center"/>
    </xf>
    <xf numFmtId="0" fontId="1" fillId="0" borderId="1" xfId="2" applyFont="1" applyBorder="1" applyAlignment="1">
      <alignment horizontal="center" vertical="center" wrapText="1"/>
    </xf>
    <xf numFmtId="0" fontId="21" fillId="0" borderId="1" xfId="2" applyFont="1" applyBorder="1" applyAlignment="1">
      <alignment horizontal="left" vertical="center"/>
    </xf>
    <xf numFmtId="14" fontId="25" fillId="0" borderId="2" xfId="2" applyNumberFormat="1" applyFont="1" applyBorder="1" applyAlignment="1">
      <alignment horizontal="center" vertical="center"/>
    </xf>
    <xf numFmtId="0" fontId="1" fillId="0" borderId="0" xfId="2" applyFont="1" applyAlignment="1">
      <alignment horizontal="center" vertical="center"/>
    </xf>
    <xf numFmtId="0" fontId="3" fillId="0" borderId="0" xfId="0" applyFont="1" applyAlignment="1">
      <alignment horizontal="center"/>
    </xf>
    <xf numFmtId="0" fontId="13" fillId="4" borderId="2" xfId="0" applyFont="1" applyFill="1" applyBorder="1" applyAlignment="1">
      <alignment horizontal="left"/>
    </xf>
    <xf numFmtId="0" fontId="13" fillId="4" borderId="9" xfId="0" applyFont="1" applyFill="1" applyBorder="1" applyAlignment="1">
      <alignment horizontal="left"/>
    </xf>
    <xf numFmtId="0" fontId="13" fillId="4" borderId="3" xfId="0" applyFont="1" applyFill="1" applyBorder="1" applyAlignment="1">
      <alignment horizontal="left"/>
    </xf>
    <xf numFmtId="0" fontId="12" fillId="4" borderId="2" xfId="0" applyFont="1" applyFill="1" applyBorder="1" applyAlignment="1">
      <alignment horizontal="center" vertical="center"/>
    </xf>
    <xf numFmtId="0" fontId="12" fillId="4" borderId="9" xfId="0" applyFont="1" applyFill="1" applyBorder="1" applyAlignment="1">
      <alignment horizontal="center" vertical="center"/>
    </xf>
    <xf numFmtId="0" fontId="12" fillId="4" borderId="3"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9" xfId="0" applyFont="1" applyFill="1" applyBorder="1" applyAlignment="1">
      <alignment horizontal="center" vertical="center"/>
    </xf>
    <xf numFmtId="0" fontId="0" fillId="4" borderId="2" xfId="0" applyFill="1" applyBorder="1" applyAlignment="1">
      <alignment horizontal="center"/>
    </xf>
    <xf numFmtId="0" fontId="0" fillId="4" borderId="9" xfId="0" applyFill="1" applyBorder="1" applyAlignment="1">
      <alignment horizontal="center"/>
    </xf>
    <xf numFmtId="0" fontId="0" fillId="4" borderId="3" xfId="0" applyFill="1" applyBorder="1" applyAlignment="1">
      <alignment horizontal="center"/>
    </xf>
    <xf numFmtId="0" fontId="3" fillId="4" borderId="2" xfId="0" applyFont="1" applyFill="1" applyBorder="1" applyAlignment="1">
      <alignment horizontal="center"/>
    </xf>
    <xf numFmtId="0" fontId="3" fillId="4" borderId="3" xfId="0" applyFont="1" applyFill="1" applyBorder="1" applyAlignment="1">
      <alignment horizontal="center"/>
    </xf>
    <xf numFmtId="0" fontId="3" fillId="4" borderId="1" xfId="0" applyFont="1" applyFill="1" applyBorder="1" applyAlignment="1">
      <alignment horizontal="center"/>
    </xf>
    <xf numFmtId="0" fontId="5" fillId="4" borderId="8"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3" fillId="4" borderId="2" xfId="0" applyFont="1" applyFill="1" applyBorder="1"/>
    <xf numFmtId="0" fontId="3" fillId="4" borderId="3" xfId="0" applyFont="1" applyFill="1" applyBorder="1"/>
    <xf numFmtId="0" fontId="4" fillId="2" borderId="8"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4" borderId="8" xfId="0" applyFont="1" applyFill="1" applyBorder="1" applyAlignment="1">
      <alignment horizontal="center" vertical="center"/>
    </xf>
    <xf numFmtId="0" fontId="4" fillId="4" borderId="10"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6" xfId="0" applyFont="1" applyFill="1" applyBorder="1" applyAlignment="1">
      <alignment horizontal="center" vertical="center"/>
    </xf>
    <xf numFmtId="14" fontId="4" fillId="0" borderId="0" xfId="0" applyNumberFormat="1" applyFont="1" applyAlignment="1">
      <alignment horizontal="left"/>
    </xf>
    <xf numFmtId="0" fontId="12" fillId="4" borderId="1" xfId="0" applyFont="1" applyFill="1" applyBorder="1" applyAlignment="1">
      <alignment horizontal="right" vertical="center"/>
    </xf>
    <xf numFmtId="0" fontId="12" fillId="4" borderId="11" xfId="0" applyFont="1" applyFill="1" applyBorder="1" applyAlignment="1">
      <alignment horizontal="right" vertical="center"/>
    </xf>
    <xf numFmtId="0" fontId="9" fillId="0" borderId="0" xfId="0" applyFont="1" applyAlignment="1">
      <alignment horizontal="left" vertical="center"/>
    </xf>
    <xf numFmtId="0" fontId="12" fillId="4" borderId="2"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2" fillId="4" borderId="2" xfId="0" applyFont="1" applyFill="1" applyBorder="1" applyAlignment="1">
      <alignment horizontal="center"/>
    </xf>
    <xf numFmtId="0" fontId="12" fillId="4" borderId="3" xfId="0" applyFont="1" applyFill="1" applyBorder="1" applyAlignment="1">
      <alignment horizontal="center"/>
    </xf>
    <xf numFmtId="0" fontId="9" fillId="0" borderId="0" xfId="0" applyFont="1" applyAlignment="1">
      <alignment horizontal="right" vertical="center"/>
    </xf>
    <xf numFmtId="0" fontId="12" fillId="4" borderId="9" xfId="0" applyFont="1" applyFill="1" applyBorder="1" applyAlignment="1">
      <alignment horizontal="center"/>
    </xf>
    <xf numFmtId="0" fontId="12" fillId="4" borderId="9" xfId="0" applyFont="1" applyFill="1" applyBorder="1" applyAlignment="1">
      <alignment horizontal="center" vertical="center" wrapText="1"/>
    </xf>
    <xf numFmtId="0" fontId="0" fillId="4" borderId="1" xfId="0" applyFill="1" applyBorder="1" applyAlignment="1">
      <alignment horizontal="center"/>
    </xf>
    <xf numFmtId="0" fontId="12" fillId="4" borderId="2" xfId="0" applyFont="1" applyFill="1" applyBorder="1" applyAlignment="1">
      <alignment horizontal="right" vertical="center"/>
    </xf>
    <xf numFmtId="0" fontId="12" fillId="4" borderId="9" xfId="0" applyFont="1" applyFill="1" applyBorder="1" applyAlignment="1">
      <alignment horizontal="right" vertical="center"/>
    </xf>
    <xf numFmtId="0" fontId="12" fillId="4" borderId="3" xfId="0" applyFont="1" applyFill="1" applyBorder="1" applyAlignment="1">
      <alignment horizontal="right" vertical="center"/>
    </xf>
    <xf numFmtId="0" fontId="3" fillId="16" borderId="1" xfId="0" applyFont="1" applyFill="1" applyBorder="1"/>
    <xf numFmtId="0" fontId="3" fillId="16" borderId="1" xfId="0" applyFont="1" applyFill="1" applyBorder="1" applyAlignment="1">
      <alignment horizontal="center"/>
    </xf>
    <xf numFmtId="0" fontId="3" fillId="4" borderId="0" xfId="0" applyFont="1" applyFill="1" applyAlignment="1">
      <alignment horizontal="center"/>
    </xf>
    <xf numFmtId="0" fontId="5" fillId="9" borderId="2" xfId="0" applyFont="1" applyFill="1" applyBorder="1" applyAlignment="1">
      <alignment horizontal="center" vertical="center"/>
    </xf>
    <xf numFmtId="0" fontId="5" fillId="9" borderId="9" xfId="0" applyFont="1" applyFill="1" applyBorder="1" applyAlignment="1">
      <alignment horizontal="center" vertical="center"/>
    </xf>
    <xf numFmtId="0" fontId="5" fillId="9" borderId="3" xfId="0" applyFont="1" applyFill="1" applyBorder="1" applyAlignment="1">
      <alignment horizontal="center" vertical="center"/>
    </xf>
    <xf numFmtId="0" fontId="5" fillId="6" borderId="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5" fillId="8" borderId="2"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3" xfId="0" applyFont="1" applyFill="1" applyBorder="1" applyAlignment="1">
      <alignment horizontal="center" vertical="center"/>
    </xf>
    <xf numFmtId="0" fontId="0" fillId="11" borderId="2" xfId="0" applyFill="1" applyBorder="1" applyAlignment="1">
      <alignment horizontal="center"/>
    </xf>
    <xf numFmtId="0" fontId="0" fillId="11" borderId="9" xfId="0" applyFill="1" applyBorder="1" applyAlignment="1">
      <alignment horizontal="center"/>
    </xf>
    <xf numFmtId="0" fontId="0" fillId="11" borderId="3" xfId="0" applyFill="1" applyBorder="1" applyAlignment="1">
      <alignment horizontal="center"/>
    </xf>
    <xf numFmtId="0" fontId="5" fillId="11" borderId="4" xfId="0" applyFont="1" applyFill="1" applyBorder="1" applyAlignment="1">
      <alignment horizontal="center" vertical="center" wrapText="1"/>
    </xf>
    <xf numFmtId="0" fontId="5" fillId="11" borderId="5" xfId="0" applyFont="1" applyFill="1" applyBorder="1" applyAlignment="1">
      <alignment horizontal="center" vertical="center" wrapText="1"/>
    </xf>
    <xf numFmtId="0" fontId="5" fillId="11" borderId="12" xfId="0" applyFont="1" applyFill="1" applyBorder="1" applyAlignment="1">
      <alignment horizontal="center" vertical="center" wrapText="1"/>
    </xf>
    <xf numFmtId="0" fontId="5" fillId="11" borderId="13"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5" fillId="11" borderId="7" xfId="0" applyFont="1" applyFill="1" applyBorder="1" applyAlignment="1">
      <alignment horizontal="center" vertical="center" wrapText="1"/>
    </xf>
    <xf numFmtId="0" fontId="14" fillId="0" borderId="2" xfId="0" applyFont="1" applyBorder="1" applyAlignment="1">
      <alignment horizontal="right"/>
    </xf>
    <xf numFmtId="0" fontId="14" fillId="0" borderId="9" xfId="0" applyFont="1" applyBorder="1" applyAlignment="1">
      <alignment horizontal="right"/>
    </xf>
    <xf numFmtId="0" fontId="14" fillId="0" borderId="3" xfId="0" applyFont="1" applyBorder="1" applyAlignment="1">
      <alignment horizontal="right"/>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15" fillId="2" borderId="8" xfId="0" applyFont="1" applyFill="1" applyBorder="1" applyAlignment="1">
      <alignment horizontal="center" vertical="center"/>
    </xf>
    <xf numFmtId="0" fontId="15" fillId="2" borderId="11" xfId="0" applyFont="1" applyFill="1" applyBorder="1" applyAlignment="1">
      <alignment horizontal="center" vertical="center"/>
    </xf>
    <xf numFmtId="0" fontId="4" fillId="2" borderId="11" xfId="0" applyFont="1" applyFill="1" applyBorder="1" applyAlignment="1">
      <alignment horizontal="center" vertical="center" wrapText="1"/>
    </xf>
    <xf numFmtId="0" fontId="5" fillId="4" borderId="0" xfId="0" applyFont="1" applyFill="1" applyAlignment="1">
      <alignment horizontal="center" vertical="center" wrapText="1"/>
    </xf>
    <xf numFmtId="0" fontId="4" fillId="2" borderId="8"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12" fillId="4" borderId="0" xfId="0" applyFont="1" applyFill="1" applyAlignment="1">
      <alignment horizontal="center"/>
    </xf>
    <xf numFmtId="0" fontId="5" fillId="4" borderId="0" xfId="0" applyFont="1" applyFill="1" applyAlignment="1">
      <alignment horizontal="center" vertical="center"/>
    </xf>
    <xf numFmtId="0" fontId="15" fillId="2" borderId="1" xfId="0" applyFont="1" applyFill="1" applyBorder="1" applyAlignment="1">
      <alignment horizontal="center"/>
    </xf>
    <xf numFmtId="0" fontId="4" fillId="2" borderId="1" xfId="0" applyFont="1" applyFill="1" applyBorder="1" applyAlignment="1">
      <alignment horizontal="center"/>
    </xf>
    <xf numFmtId="0" fontId="4" fillId="2" borderId="1" xfId="0" applyFont="1" applyFill="1" applyBorder="1" applyAlignment="1">
      <alignment horizontal="center" vertical="center"/>
    </xf>
    <xf numFmtId="0" fontId="15" fillId="0" borderId="2" xfId="0" applyFont="1" applyBorder="1" applyAlignment="1">
      <alignment horizontal="right"/>
    </xf>
    <xf numFmtId="0" fontId="15" fillId="0" borderId="9" xfId="0" applyFont="1" applyBorder="1" applyAlignment="1">
      <alignment horizontal="right"/>
    </xf>
    <xf numFmtId="0" fontId="15" fillId="0" borderId="3" xfId="0" applyFont="1" applyBorder="1" applyAlignment="1">
      <alignment horizontal="right"/>
    </xf>
    <xf numFmtId="0" fontId="15" fillId="0" borderId="1" xfId="0" applyFont="1" applyBorder="1" applyAlignment="1">
      <alignment horizontal="right"/>
    </xf>
    <xf numFmtId="0" fontId="37" fillId="2" borderId="1" xfId="0" applyFont="1" applyFill="1" applyBorder="1" applyAlignment="1">
      <alignment horizontal="center"/>
    </xf>
    <xf numFmtId="0" fontId="4" fillId="2" borderId="2" xfId="0" applyFont="1" applyFill="1" applyBorder="1" applyAlignment="1">
      <alignment horizontal="center"/>
    </xf>
    <xf numFmtId="0" fontId="4" fillId="2" borderId="9" xfId="0" applyFont="1" applyFill="1" applyBorder="1" applyAlignment="1">
      <alignment horizontal="center"/>
    </xf>
    <xf numFmtId="0" fontId="4" fillId="2" borderId="3" xfId="0" applyFont="1" applyFill="1" applyBorder="1" applyAlignment="1">
      <alignment horizontal="center"/>
    </xf>
    <xf numFmtId="0" fontId="3" fillId="12" borderId="2" xfId="0" applyFont="1" applyFill="1" applyBorder="1" applyAlignment="1">
      <alignment horizontal="center"/>
    </xf>
    <xf numFmtId="0" fontId="3" fillId="12" borderId="3" xfId="0" applyFont="1" applyFill="1" applyBorder="1" applyAlignment="1">
      <alignment horizontal="center"/>
    </xf>
    <xf numFmtId="0" fontId="4" fillId="2" borderId="1" xfId="0" applyFont="1" applyFill="1" applyBorder="1" applyAlignment="1">
      <alignment horizontal="center" vertical="center" wrapText="1"/>
    </xf>
    <xf numFmtId="0" fontId="7" fillId="2" borderId="8" xfId="0" applyFont="1" applyFill="1" applyBorder="1" applyAlignment="1" applyProtection="1">
      <alignment horizontal="center" vertical="center" wrapText="1"/>
      <protection locked="0"/>
    </xf>
    <xf numFmtId="0" fontId="7" fillId="2" borderId="10" xfId="0" applyFont="1" applyFill="1" applyBorder="1" applyAlignment="1" applyProtection="1">
      <alignment horizontal="center" vertical="center" wrapText="1"/>
      <protection locked="0"/>
    </xf>
    <xf numFmtId="0" fontId="7" fillId="2" borderId="11" xfId="0" applyFont="1" applyFill="1" applyBorder="1" applyAlignment="1" applyProtection="1">
      <alignment horizontal="center" vertical="center" wrapText="1"/>
      <protection locked="0"/>
    </xf>
    <xf numFmtId="0" fontId="15" fillId="0" borderId="0" xfId="0" applyFont="1" applyAlignment="1">
      <alignment horizontal="right"/>
    </xf>
    <xf numFmtId="0" fontId="3" fillId="12" borderId="1" xfId="0" applyFont="1" applyFill="1" applyBorder="1" applyAlignment="1">
      <alignment horizontal="center"/>
    </xf>
    <xf numFmtId="0" fontId="4" fillId="0" borderId="1" xfId="0" applyFont="1" applyBorder="1" applyAlignment="1">
      <alignment horizontal="right"/>
    </xf>
    <xf numFmtId="0" fontId="3" fillId="0" borderId="1" xfId="0" applyFont="1" applyBorder="1" applyAlignment="1">
      <alignment horizontal="right"/>
    </xf>
    <xf numFmtId="0" fontId="3" fillId="2" borderId="8"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12" fillId="0" borderId="1" xfId="0" applyFont="1" applyBorder="1" applyAlignment="1">
      <alignment horizontal="center"/>
    </xf>
    <xf numFmtId="0" fontId="12" fillId="4" borderId="1" xfId="0" applyFont="1" applyFill="1" applyBorder="1" applyAlignment="1">
      <alignment horizontal="center"/>
    </xf>
    <xf numFmtId="0" fontId="3" fillId="0" borderId="1" xfId="0" applyFont="1" applyBorder="1" applyAlignment="1">
      <alignment horizontal="center"/>
    </xf>
    <xf numFmtId="0" fontId="15" fillId="4" borderId="4" xfId="0" applyFont="1" applyFill="1" applyBorder="1" applyAlignment="1">
      <alignment horizontal="center" vertical="center"/>
    </xf>
    <xf numFmtId="0" fontId="15" fillId="4" borderId="14" xfId="0" applyFont="1" applyFill="1" applyBorder="1" applyAlignment="1">
      <alignment horizontal="center" vertical="center"/>
    </xf>
    <xf numFmtId="0" fontId="15" fillId="4" borderId="6" xfId="0" applyFont="1" applyFill="1" applyBorder="1" applyAlignment="1">
      <alignment horizontal="center" vertical="center"/>
    </xf>
    <xf numFmtId="0" fontId="15" fillId="4" borderId="15" xfId="0" applyFont="1" applyFill="1" applyBorder="1" applyAlignment="1">
      <alignment horizontal="center" vertical="center"/>
    </xf>
    <xf numFmtId="0" fontId="15" fillId="4" borderId="4"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5" fillId="4" borderId="12" xfId="0" applyFont="1" applyFill="1" applyBorder="1" applyAlignment="1">
      <alignment horizontal="center" vertical="center" wrapText="1"/>
    </xf>
    <xf numFmtId="0" fontId="15" fillId="4" borderId="0" xfId="0" applyFont="1" applyFill="1" applyAlignment="1">
      <alignment horizontal="center" vertical="center" wrapText="1"/>
    </xf>
    <xf numFmtId="0" fontId="15" fillId="4" borderId="13"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15"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2" borderId="10" xfId="0" applyFont="1" applyFill="1" applyBorder="1" applyAlignment="1">
      <alignment horizontal="center" vertical="center"/>
    </xf>
    <xf numFmtId="0" fontId="7" fillId="4" borderId="2" xfId="0" applyFont="1" applyFill="1" applyBorder="1" applyAlignment="1" applyProtection="1">
      <alignment horizontal="center" vertical="center"/>
      <protection locked="0"/>
    </xf>
    <xf numFmtId="0" fontId="7" fillId="4" borderId="9" xfId="0" applyFont="1" applyFill="1" applyBorder="1" applyAlignment="1" applyProtection="1">
      <alignment horizontal="center" vertical="center"/>
      <protection locked="0"/>
    </xf>
    <xf numFmtId="0" fontId="7" fillId="4" borderId="3" xfId="0" applyFont="1" applyFill="1" applyBorder="1" applyAlignment="1" applyProtection="1">
      <alignment horizontal="center" vertical="center"/>
      <protection locked="0"/>
    </xf>
    <xf numFmtId="0" fontId="15" fillId="4" borderId="8" xfId="0" applyFont="1" applyFill="1" applyBorder="1" applyAlignment="1">
      <alignment horizontal="center"/>
    </xf>
    <xf numFmtId="0" fontId="15" fillId="4" borderId="10" xfId="0" applyFont="1" applyFill="1" applyBorder="1" applyAlignment="1">
      <alignment horizontal="center"/>
    </xf>
    <xf numFmtId="0" fontId="15" fillId="4" borderId="11" xfId="0" applyFont="1" applyFill="1" applyBorder="1" applyAlignment="1">
      <alignment horizontal="center"/>
    </xf>
    <xf numFmtId="0" fontId="15" fillId="4" borderId="1" xfId="0" applyFont="1" applyFill="1" applyBorder="1" applyAlignment="1">
      <alignment horizontal="center"/>
    </xf>
    <xf numFmtId="0" fontId="15" fillId="4" borderId="8" xfId="0" applyFont="1" applyFill="1" applyBorder="1" applyAlignment="1">
      <alignment horizontal="center" vertical="center"/>
    </xf>
    <xf numFmtId="0" fontId="15" fillId="4" borderId="10" xfId="0" applyFont="1" applyFill="1" applyBorder="1" applyAlignment="1">
      <alignment horizontal="center" vertical="center"/>
    </xf>
    <xf numFmtId="0" fontId="15" fillId="4" borderId="11" xfId="0" applyFont="1" applyFill="1" applyBorder="1" applyAlignment="1">
      <alignment horizontal="center" vertical="center"/>
    </xf>
    <xf numFmtId="0" fontId="5" fillId="11" borderId="1" xfId="0" applyFont="1" applyFill="1" applyBorder="1" applyAlignment="1">
      <alignment horizontal="right" vertical="center"/>
    </xf>
    <xf numFmtId="0" fontId="16" fillId="11" borderId="1" xfId="0" applyFont="1" applyFill="1" applyBorder="1" applyAlignment="1">
      <alignment horizontal="right" vertical="center"/>
    </xf>
    <xf numFmtId="0" fontId="12" fillId="0" borderId="0" xfId="0" applyFont="1" applyAlignment="1">
      <alignment horizontal="center" vertical="center"/>
    </xf>
    <xf numFmtId="0" fontId="12" fillId="0" borderId="15" xfId="0" applyFont="1" applyBorder="1" applyAlignment="1">
      <alignment horizontal="center" vertical="center"/>
    </xf>
    <xf numFmtId="0" fontId="12" fillId="2" borderId="8" xfId="0" applyFont="1" applyFill="1" applyBorder="1" applyAlignment="1">
      <alignment horizontal="center" vertical="center"/>
    </xf>
    <xf numFmtId="0" fontId="12" fillId="2" borderId="1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9" xfId="0" applyFont="1" applyFill="1" applyBorder="1" applyAlignment="1">
      <alignment horizontal="center" vertical="center"/>
    </xf>
    <xf numFmtId="0" fontId="12" fillId="2" borderId="3" xfId="0" applyFont="1" applyFill="1" applyBorder="1" applyAlignment="1">
      <alignment horizontal="center" vertical="center"/>
    </xf>
    <xf numFmtId="0" fontId="5" fillId="0" borderId="0" xfId="0" applyFont="1" applyAlignment="1">
      <alignment horizontal="center" vertical="center"/>
    </xf>
    <xf numFmtId="0" fontId="12" fillId="5" borderId="1" xfId="0" applyFont="1" applyFill="1" applyBorder="1" applyAlignment="1">
      <alignment horizontal="center" vertical="center"/>
    </xf>
    <xf numFmtId="0" fontId="5" fillId="0" borderId="1" xfId="0" applyFont="1" applyBorder="1" applyAlignment="1">
      <alignment horizontal="right" vertical="center"/>
    </xf>
    <xf numFmtId="0" fontId="21" fillId="0" borderId="0" xfId="0" applyFont="1" applyAlignment="1">
      <alignment horizontal="right"/>
    </xf>
    <xf numFmtId="0" fontId="19" fillId="0" borderId="0" xfId="0" applyFont="1" applyAlignment="1">
      <alignment horizontal="left" vertical="center"/>
    </xf>
    <xf numFmtId="0" fontId="5" fillId="0" borderId="15" xfId="0" applyFont="1" applyBorder="1" applyAlignment="1">
      <alignment horizontal="center"/>
    </xf>
    <xf numFmtId="1" fontId="41" fillId="0" borderId="8" xfId="0" applyNumberFormat="1" applyFont="1" applyBorder="1" applyAlignment="1">
      <alignment horizontal="center" vertical="center"/>
    </xf>
    <xf numFmtId="1" fontId="41" fillId="0" borderId="10" xfId="0" applyNumberFormat="1" applyFont="1" applyBorder="1" applyAlignment="1">
      <alignment horizontal="center" vertical="center"/>
    </xf>
    <xf numFmtId="0" fontId="48" fillId="4" borderId="0" xfId="0" applyFont="1" applyFill="1" applyAlignment="1">
      <alignment horizontal="left" vertical="center"/>
    </xf>
    <xf numFmtId="0" fontId="5" fillId="4" borderId="0" xfId="0" applyFont="1" applyFill="1" applyAlignment="1">
      <alignment horizontal="left" vertical="center"/>
    </xf>
    <xf numFmtId="0" fontId="5" fillId="4" borderId="1" xfId="0" applyFont="1" applyFill="1" applyBorder="1" applyAlignment="1">
      <alignment horizontal="right" vertical="center"/>
    </xf>
    <xf numFmtId="0" fontId="5" fillId="2" borderId="1" xfId="0" applyFont="1" applyFill="1" applyBorder="1" applyAlignment="1">
      <alignment horizontal="right" vertical="center"/>
    </xf>
    <xf numFmtId="0" fontId="48" fillId="0" borderId="15" xfId="0" applyFont="1" applyBorder="1" applyAlignment="1">
      <alignment horizontal="left" vertical="center"/>
    </xf>
    <xf numFmtId="0" fontId="17" fillId="0" borderId="15" xfId="0" applyFont="1" applyBorder="1" applyAlignment="1">
      <alignment horizontal="left" vertical="center"/>
    </xf>
    <xf numFmtId="0" fontId="48" fillId="0" borderId="15" xfId="0" applyFont="1" applyBorder="1" applyAlignment="1">
      <alignment horizontal="left"/>
    </xf>
    <xf numFmtId="0" fontId="16" fillId="0" borderId="15" xfId="0" applyFont="1" applyBorder="1" applyAlignment="1">
      <alignment horizontal="left"/>
    </xf>
    <xf numFmtId="0" fontId="3" fillId="0" borderId="0" xfId="0" applyFont="1" applyAlignment="1">
      <alignment horizontal="center" vertical="center"/>
    </xf>
    <xf numFmtId="0" fontId="9" fillId="0" borderId="0" xfId="0" applyFont="1" applyAlignment="1">
      <alignment horizontal="center" vertical="center"/>
    </xf>
    <xf numFmtId="0" fontId="11" fillId="0" borderId="2" xfId="0" applyFont="1" applyBorder="1" applyAlignment="1">
      <alignment horizontal="left" wrapText="1"/>
    </xf>
    <xf numFmtId="0" fontId="11" fillId="0" borderId="9" xfId="0" applyFont="1" applyBorder="1" applyAlignment="1">
      <alignment horizontal="left" wrapText="1"/>
    </xf>
    <xf numFmtId="0" fontId="11" fillId="0" borderId="3" xfId="0" applyFont="1" applyBorder="1" applyAlignment="1">
      <alignment horizontal="left" wrapText="1"/>
    </xf>
    <xf numFmtId="0" fontId="11" fillId="0" borderId="2" xfId="0" applyFont="1" applyBorder="1" applyAlignment="1">
      <alignment horizontal="left"/>
    </xf>
    <xf numFmtId="0" fontId="10" fillId="0" borderId="9" xfId="0" applyFont="1" applyBorder="1" applyAlignment="1">
      <alignment horizontal="left"/>
    </xf>
    <xf numFmtId="0" fontId="10" fillId="0" borderId="3" xfId="0" applyFont="1" applyBorder="1" applyAlignment="1">
      <alignment horizontal="left"/>
    </xf>
    <xf numFmtId="0" fontId="11" fillId="0" borderId="2" xfId="0" applyFont="1" applyBorder="1"/>
    <xf numFmtId="0" fontId="11" fillId="0" borderId="9" xfId="0" applyFont="1" applyBorder="1"/>
    <xf numFmtId="0" fontId="11" fillId="0" borderId="14" xfId="0" applyFont="1" applyBorder="1"/>
    <xf numFmtId="0" fontId="11" fillId="0" borderId="5" xfId="0" applyFont="1" applyBorder="1"/>
    <xf numFmtId="0" fontId="42" fillId="0" borderId="1" xfId="0" applyFont="1" applyBorder="1" applyAlignment="1">
      <alignment horizontal="right" vertical="center"/>
    </xf>
    <xf numFmtId="0" fontId="11" fillId="0" borderId="9" xfId="0" applyFont="1" applyBorder="1" applyAlignment="1">
      <alignment horizontal="left"/>
    </xf>
    <xf numFmtId="0" fontId="11" fillId="0" borderId="3" xfId="0" applyFont="1" applyBorder="1" applyAlignment="1">
      <alignment horizontal="left"/>
    </xf>
    <xf numFmtId="0" fontId="22" fillId="0" borderId="0" xfId="0" applyFont="1" applyAlignment="1">
      <alignment horizontal="center" vertical="center"/>
    </xf>
    <xf numFmtId="2" fontId="12" fillId="4" borderId="8" xfId="0" applyNumberFormat="1" applyFont="1" applyFill="1" applyBorder="1" applyAlignment="1">
      <alignment horizontal="center" vertical="center"/>
    </xf>
    <xf numFmtId="2" fontId="12" fillId="4" borderId="10" xfId="0" applyNumberFormat="1" applyFont="1" applyFill="1" applyBorder="1" applyAlignment="1">
      <alignment horizontal="center" vertical="center"/>
    </xf>
    <xf numFmtId="2" fontId="12" fillId="4" borderId="11" xfId="0" applyNumberFormat="1" applyFont="1" applyFill="1"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5" fillId="5" borderId="8"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5" borderId="11" xfId="0" applyFont="1" applyFill="1" applyBorder="1" applyAlignment="1">
      <alignment horizontal="center" vertical="center" wrapText="1"/>
    </xf>
  </cellXfs>
  <cellStyles count="5">
    <cellStyle name="Normal" xfId="0" builtinId="0"/>
    <cellStyle name="Normal 2" xfId="1" xr:uid="{00000000-0005-0000-0000-000001000000}"/>
    <cellStyle name="Normal 3" xfId="2" xr:uid="{00000000-0005-0000-0000-000002000000}"/>
    <cellStyle name="Percent" xfId="4" builtinId="5"/>
    <cellStyle name="Percent 2" xfId="3" xr:uid="{00000000-0005-0000-0000-000004000000}"/>
  </cellStyles>
  <dxfs count="0"/>
  <tableStyles count="0" defaultTableStyle="TableStyleMedium9" defaultPivotStyle="PivotStyleLight16"/>
  <colors>
    <mruColors>
      <color rgb="FF33CCFF"/>
      <color rgb="FFFF99CC"/>
      <color rgb="FFCCFF33"/>
      <color rgb="FFCC99FF"/>
      <color rgb="FFFFFF00"/>
      <color rgb="FFCC00FF"/>
      <color rgb="FFFFFF99"/>
      <color rgb="FFFFFFCC"/>
      <color rgb="FFCC66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1"/>
    </c:title>
    <c:autoTitleDeleted val="0"/>
    <c:view3D>
      <c:rotX val="15"/>
      <c:rotY val="20"/>
      <c:rAngAx val="1"/>
    </c:view3D>
    <c:floor>
      <c:thickness val="0"/>
    </c:floor>
    <c:sideWall>
      <c:thickness val="0"/>
    </c:sideWall>
    <c:backWall>
      <c:thickness val="0"/>
    </c:backWall>
    <c:plotArea>
      <c:layout>
        <c:manualLayout>
          <c:layoutTarget val="inner"/>
          <c:xMode val="edge"/>
          <c:yMode val="edge"/>
          <c:x val="0.12554951630164518"/>
          <c:y val="0.22444712082883536"/>
          <c:w val="0.83962978257446375"/>
          <c:h val="0.543342376320607"/>
        </c:manualLayout>
      </c:layout>
      <c:bar3DChart>
        <c:barDir val="col"/>
        <c:grouping val="clustered"/>
        <c:varyColors val="0"/>
        <c:ser>
          <c:idx val="0"/>
          <c:order val="0"/>
          <c:tx>
            <c:v>CO</c:v>
          </c:tx>
          <c:invertIfNegative val="0"/>
          <c:dLbls>
            <c:dLbl>
              <c:idx val="0"/>
              <c:layout>
                <c:manualLayout>
                  <c:x val="2.0202020202020202E-3"/>
                  <c:y val="-2.98786181139122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F9-4F00-AE7A-AB5DFCB22899}"/>
                </c:ext>
              </c:extLst>
            </c:dLbl>
            <c:dLbl>
              <c:idx val="1"/>
              <c:layout>
                <c:manualLayout>
                  <c:x val="6.0606060606060623E-3"/>
                  <c:y val="-2.24089635854347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F9-4F00-AE7A-AB5DFCB22899}"/>
                </c:ext>
              </c:extLst>
            </c:dLbl>
            <c:dLbl>
              <c:idx val="2"/>
              <c:layout>
                <c:manualLayout>
                  <c:x val="6.0606060606061404E-3"/>
                  <c:y val="-2.24089635854347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F9-4F00-AE7A-AB5DFCB22899}"/>
                </c:ext>
              </c:extLst>
            </c:dLbl>
            <c:dLbl>
              <c:idx val="3"/>
              <c:layout>
                <c:manualLayout>
                  <c:x val="6.0606060606060623E-3"/>
                  <c:y val="-3.3613445378151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F9-4F00-AE7A-AB5DFCB22899}"/>
                </c:ext>
              </c:extLst>
            </c:dLbl>
            <c:dLbl>
              <c:idx val="4"/>
              <c:layout>
                <c:manualLayout>
                  <c:x val="0"/>
                  <c:y val="-2.24089635854347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F9-4F00-AE7A-AB5DFCB2289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final!$I$12:$I$17</c:f>
              <c:numCache>
                <c:formatCode>0.00</c:formatCode>
                <c:ptCount val="6"/>
                <c:pt idx="0">
                  <c:v>3</c:v>
                </c:pt>
                <c:pt idx="1">
                  <c:v>2.75</c:v>
                </c:pt>
                <c:pt idx="2">
                  <c:v>3</c:v>
                </c:pt>
                <c:pt idx="3">
                  <c:v>2.25</c:v>
                </c:pt>
                <c:pt idx="4">
                  <c:v>3</c:v>
                </c:pt>
                <c:pt idx="5">
                  <c:v>2.8</c:v>
                </c:pt>
              </c:numCache>
            </c:numRef>
          </c:cat>
          <c:val>
            <c:numRef>
              <c:f>final!$I$12:$I$17</c:f>
              <c:numCache>
                <c:formatCode>0.00</c:formatCode>
                <c:ptCount val="6"/>
                <c:pt idx="0">
                  <c:v>3</c:v>
                </c:pt>
                <c:pt idx="1">
                  <c:v>2.75</c:v>
                </c:pt>
                <c:pt idx="2">
                  <c:v>3</c:v>
                </c:pt>
                <c:pt idx="3">
                  <c:v>2.25</c:v>
                </c:pt>
                <c:pt idx="4">
                  <c:v>3</c:v>
                </c:pt>
                <c:pt idx="5">
                  <c:v>2.8</c:v>
                </c:pt>
              </c:numCache>
              <c:extLst/>
            </c:numRef>
          </c:val>
          <c:extLst>
            <c:ext xmlns:c16="http://schemas.microsoft.com/office/drawing/2014/chart" uri="{C3380CC4-5D6E-409C-BE32-E72D297353CC}">
              <c16:uniqueId val="{00000005-DAF9-4F00-AE7A-AB5DFCB22899}"/>
            </c:ext>
          </c:extLst>
        </c:ser>
        <c:dLbls>
          <c:showLegendKey val="0"/>
          <c:showVal val="1"/>
          <c:showCatName val="0"/>
          <c:showSerName val="0"/>
          <c:showPercent val="0"/>
          <c:showBubbleSize val="0"/>
        </c:dLbls>
        <c:gapWidth val="150"/>
        <c:shape val="box"/>
        <c:axId val="69191552"/>
        <c:axId val="69193088"/>
        <c:axId val="0"/>
      </c:bar3DChart>
      <c:catAx>
        <c:axId val="69191552"/>
        <c:scaling>
          <c:orientation val="minMax"/>
        </c:scaling>
        <c:delete val="0"/>
        <c:axPos val="b"/>
        <c:numFmt formatCode="0.00" sourceLinked="1"/>
        <c:majorTickMark val="out"/>
        <c:minorTickMark val="none"/>
        <c:tickLblPos val="nextTo"/>
        <c:crossAx val="69193088"/>
        <c:crossesAt val="0"/>
        <c:auto val="1"/>
        <c:lblAlgn val="ctr"/>
        <c:lblOffset val="100"/>
        <c:noMultiLvlLbl val="0"/>
      </c:catAx>
      <c:valAx>
        <c:axId val="69193088"/>
        <c:scaling>
          <c:orientation val="minMax"/>
          <c:max val="3"/>
          <c:min val="0"/>
        </c:scaling>
        <c:delete val="0"/>
        <c:axPos val="l"/>
        <c:title>
          <c:tx>
            <c:rich>
              <a:bodyPr rot="-5400000" vert="horz"/>
              <a:lstStyle/>
              <a:p>
                <a:pPr>
                  <a:defRPr/>
                </a:pPr>
                <a:r>
                  <a:rPr lang="en-US"/>
                  <a:t>Achieved %</a:t>
                </a:r>
              </a:p>
            </c:rich>
          </c:tx>
          <c:overlay val="0"/>
        </c:title>
        <c:numFmt formatCode="0.00" sourceLinked="1"/>
        <c:majorTickMark val="out"/>
        <c:minorTickMark val="none"/>
        <c:tickLblPos val="nextTo"/>
        <c:crossAx val="69191552"/>
        <c:crosses val="autoZero"/>
        <c:crossBetween val="between"/>
      </c:valAx>
      <c:dTable>
        <c:showHorzBorder val="1"/>
        <c:showVertBorder val="1"/>
        <c:showOutline val="1"/>
        <c:showKeys val="0"/>
      </c:dTable>
    </c:plotArea>
    <c:plotVisOnly val="1"/>
    <c:dispBlanksAs val="gap"/>
    <c:showDLblsOverMax val="0"/>
  </c:chart>
  <c:printSettings>
    <c:headerFooter/>
    <c:pageMargins b="0.75000000000000744" l="0.70000000000000062" r="0.70000000000000062" t="0.75000000000000744"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0"/>
    </mc:Choice>
    <mc:Fallback>
      <c:style val="30"/>
    </mc:Fallback>
  </mc:AlternateContent>
  <c:chart>
    <c:title>
      <c:tx>
        <c:rich>
          <a:bodyPr/>
          <a:lstStyle/>
          <a:p>
            <a:pPr>
              <a:defRPr/>
            </a:pPr>
            <a:r>
              <a:rPr lang="en-US"/>
              <a:t>Achieved PO and PSO Attainment Level</a:t>
            </a:r>
          </a:p>
        </c:rich>
      </c:tx>
      <c:layout>
        <c:manualLayout>
          <c:xMode val="edge"/>
          <c:yMode val="edge"/>
          <c:x val="0.18661878921576541"/>
          <c:y val="0"/>
        </c:manualLayout>
      </c:layout>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final!$L$12:$Z$12</c:f>
              <c:strCache>
                <c:ptCount val="15"/>
                <c:pt idx="0">
                  <c:v>PO1</c:v>
                </c:pt>
                <c:pt idx="1">
                  <c:v>PO2</c:v>
                </c:pt>
                <c:pt idx="2">
                  <c:v>PO3</c:v>
                </c:pt>
                <c:pt idx="3">
                  <c:v>PO4</c:v>
                </c:pt>
                <c:pt idx="4">
                  <c:v>PO5</c:v>
                </c:pt>
                <c:pt idx="5">
                  <c:v>PO6</c:v>
                </c:pt>
                <c:pt idx="6">
                  <c:v>PO7</c:v>
                </c:pt>
                <c:pt idx="7">
                  <c:v>PO8</c:v>
                </c:pt>
                <c:pt idx="8">
                  <c:v>PO9</c:v>
                </c:pt>
                <c:pt idx="9">
                  <c:v>PO10</c:v>
                </c:pt>
                <c:pt idx="10">
                  <c:v>PO11</c:v>
                </c:pt>
                <c:pt idx="11">
                  <c:v>PO12</c:v>
                </c:pt>
                <c:pt idx="12">
                  <c:v>PSO1</c:v>
                </c:pt>
                <c:pt idx="13">
                  <c:v>PSO2</c:v>
                </c:pt>
                <c:pt idx="14">
                  <c:v>PSO3</c:v>
                </c:pt>
              </c:strCache>
            </c:strRef>
          </c:cat>
          <c:val>
            <c:numRef>
              <c:f>final!$L$19:$Z$19</c:f>
              <c:numCache>
                <c:formatCode>0.00</c:formatCode>
                <c:ptCount val="15"/>
                <c:pt idx="0">
                  <c:v>1.8532800000000003</c:v>
                </c:pt>
                <c:pt idx="1">
                  <c:v>0.47736000000000006</c:v>
                </c:pt>
                <c:pt idx="2">
                  <c:v>1.8532800000000003</c:v>
                </c:pt>
                <c:pt idx="3">
                  <c:v>1.8532800000000003</c:v>
                </c:pt>
                <c:pt idx="4">
                  <c:v>0.47736000000000006</c:v>
                </c:pt>
                <c:pt idx="5">
                  <c:v>0</c:v>
                </c:pt>
                <c:pt idx="6">
                  <c:v>0</c:v>
                </c:pt>
                <c:pt idx="7">
                  <c:v>0</c:v>
                </c:pt>
                <c:pt idx="8">
                  <c:v>1.8532800000000003</c:v>
                </c:pt>
                <c:pt idx="9">
                  <c:v>1.8532800000000003</c:v>
                </c:pt>
                <c:pt idx="10">
                  <c:v>1.8532800000000003</c:v>
                </c:pt>
                <c:pt idx="11">
                  <c:v>1.8532800000000003</c:v>
                </c:pt>
                <c:pt idx="12">
                  <c:v>1.8532800000000003</c:v>
                </c:pt>
                <c:pt idx="13">
                  <c:v>1.8532800000000003</c:v>
                </c:pt>
                <c:pt idx="14">
                  <c:v>1.8532800000000003</c:v>
                </c:pt>
              </c:numCache>
            </c:numRef>
          </c:val>
          <c:extLst>
            <c:ext xmlns:c16="http://schemas.microsoft.com/office/drawing/2014/chart" uri="{C3380CC4-5D6E-409C-BE32-E72D297353CC}">
              <c16:uniqueId val="{00000000-BAC1-42BD-87A9-3B792BF9D351}"/>
            </c:ext>
          </c:extLst>
        </c:ser>
        <c:dLbls>
          <c:showLegendKey val="0"/>
          <c:showVal val="1"/>
          <c:showCatName val="0"/>
          <c:showSerName val="0"/>
          <c:showPercent val="0"/>
          <c:showBubbleSize val="0"/>
        </c:dLbls>
        <c:gapWidth val="150"/>
        <c:shape val="box"/>
        <c:axId val="69559424"/>
        <c:axId val="69560960"/>
        <c:axId val="0"/>
      </c:bar3DChart>
      <c:catAx>
        <c:axId val="69559424"/>
        <c:scaling>
          <c:orientation val="minMax"/>
        </c:scaling>
        <c:delete val="0"/>
        <c:axPos val="b"/>
        <c:numFmt formatCode="General" sourceLinked="1"/>
        <c:majorTickMark val="out"/>
        <c:minorTickMark val="none"/>
        <c:tickLblPos val="nextTo"/>
        <c:crossAx val="69560960"/>
        <c:crosses val="autoZero"/>
        <c:auto val="1"/>
        <c:lblAlgn val="ctr"/>
        <c:lblOffset val="100"/>
        <c:noMultiLvlLbl val="0"/>
      </c:catAx>
      <c:valAx>
        <c:axId val="69560960"/>
        <c:scaling>
          <c:orientation val="minMax"/>
        </c:scaling>
        <c:delete val="0"/>
        <c:axPos val="l"/>
        <c:majorGridlines/>
        <c:title>
          <c:tx>
            <c:rich>
              <a:bodyPr/>
              <a:lstStyle/>
              <a:p>
                <a:pPr>
                  <a:defRPr/>
                </a:pPr>
                <a:r>
                  <a:rPr lang="en-IN"/>
                  <a:t>Achieved</a:t>
                </a:r>
              </a:p>
            </c:rich>
          </c:tx>
          <c:overlay val="0"/>
        </c:title>
        <c:numFmt formatCode="0.00" sourceLinked="1"/>
        <c:majorTickMark val="out"/>
        <c:minorTickMark val="none"/>
        <c:tickLblPos val="nextTo"/>
        <c:crossAx val="69559424"/>
        <c:crosses val="autoZero"/>
        <c:crossBetween val="between"/>
      </c:valAx>
      <c:dTable>
        <c:showHorzBorder val="1"/>
        <c:showVertBorder val="1"/>
        <c:showOutline val="1"/>
        <c:showKeys val="0"/>
      </c:dTable>
    </c:plotArea>
    <c:plotVisOnly val="1"/>
    <c:dispBlanksAs val="gap"/>
    <c:showDLblsOverMax val="0"/>
  </c:chart>
  <c:printSettings>
    <c:headerFooter/>
    <c:pageMargins b="0.75000000000000588" l="0.70000000000000062" r="0.70000000000000062" t="0.75000000000000588"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204405</xdr:colOff>
      <xdr:row>0</xdr:row>
      <xdr:rowOff>66674</xdr:rowOff>
    </xdr:from>
    <xdr:to>
      <xdr:col>1</xdr:col>
      <xdr:colOff>609600</xdr:colOff>
      <xdr:row>2</xdr:row>
      <xdr:rowOff>151259</xdr:rowOff>
    </xdr:to>
    <xdr:pic>
      <xdr:nvPicPr>
        <xdr:cNvPr id="2" name="Picture 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737805" y="66674"/>
          <a:ext cx="405195" cy="465585"/>
        </a:xfrm>
        <a:prstGeom prst="rect">
          <a:avLst/>
        </a:prstGeom>
        <a:ln w="9360">
          <a:noFill/>
        </a:ln>
      </xdr:spPr>
    </xdr:pic>
    <xdr:clientData/>
  </xdr:twoCellAnchor>
  <xdr:twoCellAnchor>
    <xdr:from>
      <xdr:col>10</xdr:col>
      <xdr:colOff>117836</xdr:colOff>
      <xdr:row>1</xdr:row>
      <xdr:rowOff>1</xdr:rowOff>
    </xdr:from>
    <xdr:to>
      <xdr:col>10</xdr:col>
      <xdr:colOff>532458</xdr:colOff>
      <xdr:row>2</xdr:row>
      <xdr:rowOff>125456</xdr:rowOff>
    </xdr:to>
    <xdr:pic>
      <xdr:nvPicPr>
        <xdr:cNvPr id="3" name="Picture 1">
          <a:extLst>
            <a:ext uri="{FF2B5EF4-FFF2-40B4-BE49-F238E27FC236}">
              <a16:creationId xmlns:a16="http://schemas.microsoft.com/office/drawing/2014/main" id="{87751096-0B0D-46DC-960B-C1069EE7965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80083" y="180681"/>
          <a:ext cx="414622" cy="3061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375855</xdr:colOff>
      <xdr:row>0</xdr:row>
      <xdr:rowOff>85724</xdr:rowOff>
    </xdr:from>
    <xdr:to>
      <xdr:col>1</xdr:col>
      <xdr:colOff>76200</xdr:colOff>
      <xdr:row>2</xdr:row>
      <xdr:rowOff>170309</xdr:rowOff>
    </xdr:to>
    <xdr:pic>
      <xdr:nvPicPr>
        <xdr:cNvPr id="2" name="Picture 3">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375855" y="85724"/>
          <a:ext cx="405195" cy="465585"/>
        </a:xfrm>
        <a:prstGeom prst="rect">
          <a:avLst/>
        </a:prstGeom>
        <a:ln w="9360">
          <a:noFill/>
        </a:ln>
      </xdr:spPr>
    </xdr:pic>
    <xdr:clientData/>
  </xdr:twoCellAnchor>
  <xdr:twoCellAnchor>
    <xdr:from>
      <xdr:col>10</xdr:col>
      <xdr:colOff>441960</xdr:colOff>
      <xdr:row>0</xdr:row>
      <xdr:rowOff>175260</xdr:rowOff>
    </xdr:from>
    <xdr:to>
      <xdr:col>11</xdr:col>
      <xdr:colOff>243840</xdr:colOff>
      <xdr:row>3</xdr:row>
      <xdr:rowOff>0</xdr:rowOff>
    </xdr:to>
    <xdr:pic>
      <xdr:nvPicPr>
        <xdr:cNvPr id="3" name="Picture 1">
          <a:extLst>
            <a:ext uri="{FF2B5EF4-FFF2-40B4-BE49-F238E27FC236}">
              <a16:creationId xmlns:a16="http://schemas.microsoft.com/office/drawing/2014/main" id="{207B1D7A-54B4-47EE-BE7E-615DC1C7C0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64680" y="175260"/>
          <a:ext cx="411480" cy="373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204405</xdr:colOff>
      <xdr:row>0</xdr:row>
      <xdr:rowOff>66674</xdr:rowOff>
    </xdr:from>
    <xdr:to>
      <xdr:col>1</xdr:col>
      <xdr:colOff>609600</xdr:colOff>
      <xdr:row>2</xdr:row>
      <xdr:rowOff>151259</xdr:rowOff>
    </xdr:to>
    <xdr:pic>
      <xdr:nvPicPr>
        <xdr:cNvPr id="2" name="Picture 3">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671130" y="66674"/>
          <a:ext cx="405195" cy="465585"/>
        </a:xfrm>
        <a:prstGeom prst="rect">
          <a:avLst/>
        </a:prstGeom>
        <a:ln w="9360">
          <a:noFill/>
        </a:ln>
      </xdr:spPr>
    </xdr:pic>
    <xdr:clientData/>
  </xdr:twoCellAnchor>
  <xdr:twoCellAnchor>
    <xdr:from>
      <xdr:col>10</xdr:col>
      <xdr:colOff>182880</xdr:colOff>
      <xdr:row>0</xdr:row>
      <xdr:rowOff>121920</xdr:rowOff>
    </xdr:from>
    <xdr:to>
      <xdr:col>10</xdr:col>
      <xdr:colOff>594360</xdr:colOff>
      <xdr:row>2</xdr:row>
      <xdr:rowOff>167640</xdr:rowOff>
    </xdr:to>
    <xdr:pic>
      <xdr:nvPicPr>
        <xdr:cNvPr id="3" name="Picture 1">
          <a:extLst>
            <a:ext uri="{FF2B5EF4-FFF2-40B4-BE49-F238E27FC236}">
              <a16:creationId xmlns:a16="http://schemas.microsoft.com/office/drawing/2014/main" id="{D4614CB2-30CF-40B3-9D44-38CBE24DD5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54240" y="121920"/>
          <a:ext cx="41148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737805</xdr:colOff>
      <xdr:row>1</xdr:row>
      <xdr:rowOff>95249</xdr:rowOff>
    </xdr:from>
    <xdr:to>
      <xdr:col>2</xdr:col>
      <xdr:colOff>57150</xdr:colOff>
      <xdr:row>3</xdr:row>
      <xdr:rowOff>179834</xdr:rowOff>
    </xdr:to>
    <xdr:pic>
      <xdr:nvPicPr>
        <xdr:cNvPr id="2" name="Picture 3">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1175955" y="285749"/>
          <a:ext cx="529020" cy="465585"/>
        </a:xfrm>
        <a:prstGeom prst="rect">
          <a:avLst/>
        </a:prstGeom>
        <a:ln w="9360">
          <a:noFill/>
        </a:ln>
      </xdr:spPr>
    </xdr:pic>
    <xdr:clientData/>
  </xdr:twoCellAnchor>
  <xdr:twoCellAnchor>
    <xdr:from>
      <xdr:col>15</xdr:col>
      <xdr:colOff>297180</xdr:colOff>
      <xdr:row>1</xdr:row>
      <xdr:rowOff>45720</xdr:rowOff>
    </xdr:from>
    <xdr:to>
      <xdr:col>17</xdr:col>
      <xdr:colOff>30480</xdr:colOff>
      <xdr:row>3</xdr:row>
      <xdr:rowOff>83820</xdr:rowOff>
    </xdr:to>
    <xdr:pic>
      <xdr:nvPicPr>
        <xdr:cNvPr id="3" name="Picture 1">
          <a:extLst>
            <a:ext uri="{FF2B5EF4-FFF2-40B4-BE49-F238E27FC236}">
              <a16:creationId xmlns:a16="http://schemas.microsoft.com/office/drawing/2014/main" id="{36A03BB9-AFF9-44E0-8B58-CBF48EA286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49540" y="228600"/>
          <a:ext cx="373380" cy="403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737805</xdr:colOff>
      <xdr:row>1</xdr:row>
      <xdr:rowOff>95249</xdr:rowOff>
    </xdr:from>
    <xdr:to>
      <xdr:col>2</xdr:col>
      <xdr:colOff>57150</xdr:colOff>
      <xdr:row>3</xdr:row>
      <xdr:rowOff>179834</xdr:rowOff>
    </xdr:to>
    <xdr:pic>
      <xdr:nvPicPr>
        <xdr:cNvPr id="2" name="Picture 3">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xdr:blipFill>
      <xdr:spPr>
        <a:xfrm>
          <a:off x="1175955" y="285749"/>
          <a:ext cx="529020" cy="465585"/>
        </a:xfrm>
        <a:prstGeom prst="rect">
          <a:avLst/>
        </a:prstGeom>
        <a:ln w="9360">
          <a:noFill/>
        </a:ln>
      </xdr:spPr>
    </xdr:pic>
    <xdr:clientData/>
  </xdr:twoCellAnchor>
  <xdr:twoCellAnchor>
    <xdr:from>
      <xdr:col>16</xdr:col>
      <xdr:colOff>0</xdr:colOff>
      <xdr:row>2</xdr:row>
      <xdr:rowOff>106680</xdr:rowOff>
    </xdr:from>
    <xdr:to>
      <xdr:col>16</xdr:col>
      <xdr:colOff>312420</xdr:colOff>
      <xdr:row>5</xdr:row>
      <xdr:rowOff>7620</xdr:rowOff>
    </xdr:to>
    <xdr:pic>
      <xdr:nvPicPr>
        <xdr:cNvPr id="3" name="Picture 1">
          <a:extLst>
            <a:ext uri="{FF2B5EF4-FFF2-40B4-BE49-F238E27FC236}">
              <a16:creationId xmlns:a16="http://schemas.microsoft.com/office/drawing/2014/main" id="{8976A261-56F9-466B-89AB-C63EDF1A9C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26680" y="472440"/>
          <a:ext cx="312420" cy="449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737805</xdr:colOff>
      <xdr:row>1</xdr:row>
      <xdr:rowOff>95249</xdr:rowOff>
    </xdr:from>
    <xdr:to>
      <xdr:col>2</xdr:col>
      <xdr:colOff>57150</xdr:colOff>
      <xdr:row>3</xdr:row>
      <xdr:rowOff>179834</xdr:rowOff>
    </xdr:to>
    <xdr:pic>
      <xdr:nvPicPr>
        <xdr:cNvPr id="2" name="Picture 3">
          <a:extLst>
            <a:ext uri="{FF2B5EF4-FFF2-40B4-BE49-F238E27FC236}">
              <a16:creationId xmlns:a16="http://schemas.microsoft.com/office/drawing/2014/main" id="{8EDCA74E-D58E-4605-99F5-284B8DBF1854}"/>
            </a:ext>
          </a:extLst>
        </xdr:cNvPr>
        <xdr:cNvPicPr/>
      </xdr:nvPicPr>
      <xdr:blipFill>
        <a:blip xmlns:r="http://schemas.openxmlformats.org/officeDocument/2006/relationships" r:embed="rId1"/>
        <a:stretch/>
      </xdr:blipFill>
      <xdr:spPr>
        <a:xfrm>
          <a:off x="1187385" y="278129"/>
          <a:ext cx="561405" cy="450345"/>
        </a:xfrm>
        <a:prstGeom prst="rect">
          <a:avLst/>
        </a:prstGeom>
        <a:ln w="9360">
          <a:noFill/>
        </a:ln>
      </xdr:spPr>
    </xdr:pic>
    <xdr:clientData/>
  </xdr:twoCellAnchor>
  <xdr:twoCellAnchor>
    <xdr:from>
      <xdr:col>15</xdr:col>
      <xdr:colOff>106680</xdr:colOff>
      <xdr:row>1</xdr:row>
      <xdr:rowOff>167640</xdr:rowOff>
    </xdr:from>
    <xdr:to>
      <xdr:col>16</xdr:col>
      <xdr:colOff>99060</xdr:colOff>
      <xdr:row>3</xdr:row>
      <xdr:rowOff>137160</xdr:rowOff>
    </xdr:to>
    <xdr:pic>
      <xdr:nvPicPr>
        <xdr:cNvPr id="3" name="Picture 1">
          <a:extLst>
            <a:ext uri="{FF2B5EF4-FFF2-40B4-BE49-F238E27FC236}">
              <a16:creationId xmlns:a16="http://schemas.microsoft.com/office/drawing/2014/main" id="{6C095E2D-D071-47A4-A987-011700DBCD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3320" y="350520"/>
          <a:ext cx="31242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79655</xdr:colOff>
      <xdr:row>0</xdr:row>
      <xdr:rowOff>37653</xdr:rowOff>
    </xdr:from>
    <xdr:to>
      <xdr:col>2</xdr:col>
      <xdr:colOff>484850</xdr:colOff>
      <xdr:row>2</xdr:row>
      <xdr:rowOff>105850</xdr:rowOff>
    </xdr:to>
    <xdr:pic>
      <xdr:nvPicPr>
        <xdr:cNvPr id="2" name="Picture 3">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tretch/>
      </xdr:blipFill>
      <xdr:spPr>
        <a:xfrm>
          <a:off x="1240922" y="37653"/>
          <a:ext cx="405195" cy="459635"/>
        </a:xfrm>
        <a:prstGeom prst="rect">
          <a:avLst/>
        </a:prstGeom>
        <a:ln w="9360">
          <a:noFill/>
        </a:ln>
      </xdr:spPr>
    </xdr:pic>
    <xdr:clientData/>
  </xdr:twoCellAnchor>
  <xdr:twoCellAnchor>
    <xdr:from>
      <xdr:col>17</xdr:col>
      <xdr:colOff>0</xdr:colOff>
      <xdr:row>1</xdr:row>
      <xdr:rowOff>0</xdr:rowOff>
    </xdr:from>
    <xdr:to>
      <xdr:col>17</xdr:col>
      <xdr:colOff>323798</xdr:colOff>
      <xdr:row>2</xdr:row>
      <xdr:rowOff>7620</xdr:rowOff>
    </xdr:to>
    <xdr:pic>
      <xdr:nvPicPr>
        <xdr:cNvPr id="4" name="Picture 1">
          <a:extLst>
            <a:ext uri="{FF2B5EF4-FFF2-40B4-BE49-F238E27FC236}">
              <a16:creationId xmlns:a16="http://schemas.microsoft.com/office/drawing/2014/main" id="{1B4214AC-4CE5-454C-936E-40B66517F6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0164" y="187890"/>
          <a:ext cx="323798" cy="1955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188606</xdr:colOff>
      <xdr:row>0</xdr:row>
      <xdr:rowOff>168621</xdr:rowOff>
    </xdr:from>
    <xdr:to>
      <xdr:col>2</xdr:col>
      <xdr:colOff>565226</xdr:colOff>
      <xdr:row>3</xdr:row>
      <xdr:rowOff>46318</xdr:rowOff>
    </xdr:to>
    <xdr:pic>
      <xdr:nvPicPr>
        <xdr:cNvPr id="3" name="Picture 3">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a:stretch/>
      </xdr:blipFill>
      <xdr:spPr>
        <a:xfrm>
          <a:off x="1248262" y="359121"/>
          <a:ext cx="376620" cy="449197"/>
        </a:xfrm>
        <a:prstGeom prst="rect">
          <a:avLst/>
        </a:prstGeom>
        <a:ln w="9360">
          <a:noFill/>
        </a:ln>
      </xdr:spPr>
    </xdr:pic>
    <xdr:clientData/>
  </xdr:twoCellAnchor>
  <xdr:twoCellAnchor>
    <xdr:from>
      <xdr:col>12</xdr:col>
      <xdr:colOff>0</xdr:colOff>
      <xdr:row>1</xdr:row>
      <xdr:rowOff>0</xdr:rowOff>
    </xdr:from>
    <xdr:to>
      <xdr:col>13</xdr:col>
      <xdr:colOff>76200</xdr:colOff>
      <xdr:row>3</xdr:row>
      <xdr:rowOff>38100</xdr:rowOff>
    </xdr:to>
    <xdr:pic>
      <xdr:nvPicPr>
        <xdr:cNvPr id="2" name="Picture 1">
          <a:extLst>
            <a:ext uri="{FF2B5EF4-FFF2-40B4-BE49-F238E27FC236}">
              <a16:creationId xmlns:a16="http://schemas.microsoft.com/office/drawing/2014/main" id="{0CCDC429-FA24-43C9-8C05-9A244BF887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29625" y="180975"/>
          <a:ext cx="47625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188606</xdr:colOff>
      <xdr:row>0</xdr:row>
      <xdr:rowOff>168621</xdr:rowOff>
    </xdr:from>
    <xdr:to>
      <xdr:col>2</xdr:col>
      <xdr:colOff>565226</xdr:colOff>
      <xdr:row>3</xdr:row>
      <xdr:rowOff>46318</xdr:rowOff>
    </xdr:to>
    <xdr:pic>
      <xdr:nvPicPr>
        <xdr:cNvPr id="4" name="Picture 3">
          <a:extLst>
            <a:ext uri="{FF2B5EF4-FFF2-40B4-BE49-F238E27FC236}">
              <a16:creationId xmlns:a16="http://schemas.microsoft.com/office/drawing/2014/main" id="{00000000-0008-0000-0800-000004000000}"/>
            </a:ext>
          </a:extLst>
        </xdr:cNvPr>
        <xdr:cNvPicPr/>
      </xdr:nvPicPr>
      <xdr:blipFill>
        <a:blip xmlns:r="http://schemas.openxmlformats.org/officeDocument/2006/relationships" r:embed="rId1"/>
        <a:stretch/>
      </xdr:blipFill>
      <xdr:spPr>
        <a:xfrm>
          <a:off x="1245881" y="359121"/>
          <a:ext cx="376620" cy="449197"/>
        </a:xfrm>
        <a:prstGeom prst="rect">
          <a:avLst/>
        </a:prstGeom>
        <a:ln w="9360">
          <a:noFill/>
        </a:ln>
      </xdr:spPr>
    </xdr:pic>
    <xdr:clientData/>
  </xdr:twoCellAnchor>
  <xdr:twoCellAnchor>
    <xdr:from>
      <xdr:col>11</xdr:col>
      <xdr:colOff>483218</xdr:colOff>
      <xdr:row>3</xdr:row>
      <xdr:rowOff>0</xdr:rowOff>
    </xdr:from>
    <xdr:to>
      <xdr:col>13</xdr:col>
      <xdr:colOff>92926</xdr:colOff>
      <xdr:row>4</xdr:row>
      <xdr:rowOff>176105</xdr:rowOff>
    </xdr:to>
    <xdr:pic>
      <xdr:nvPicPr>
        <xdr:cNvPr id="2" name="Picture 1">
          <a:extLst>
            <a:ext uri="{FF2B5EF4-FFF2-40B4-BE49-F238E27FC236}">
              <a16:creationId xmlns:a16="http://schemas.microsoft.com/office/drawing/2014/main" id="{883DC296-02E0-46C6-95A1-7E0BA83B56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2901" y="557561"/>
          <a:ext cx="576147" cy="3619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223455</xdr:colOff>
      <xdr:row>0</xdr:row>
      <xdr:rowOff>123824</xdr:rowOff>
    </xdr:from>
    <xdr:to>
      <xdr:col>2</xdr:col>
      <xdr:colOff>609600</xdr:colOff>
      <xdr:row>3</xdr:row>
      <xdr:rowOff>3505</xdr:rowOff>
    </xdr:to>
    <xdr:pic>
      <xdr:nvPicPr>
        <xdr:cNvPr id="2" name="Picture 3">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tretch/>
      </xdr:blipFill>
      <xdr:spPr>
        <a:xfrm>
          <a:off x="1242630" y="123824"/>
          <a:ext cx="386145" cy="451181"/>
        </a:xfrm>
        <a:prstGeom prst="rect">
          <a:avLst/>
        </a:prstGeom>
        <a:ln w="936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19050</xdr:colOff>
      <xdr:row>0</xdr:row>
      <xdr:rowOff>114300</xdr:rowOff>
    </xdr:from>
    <xdr:to>
      <xdr:col>1</xdr:col>
      <xdr:colOff>424245</xdr:colOff>
      <xdr:row>3</xdr:row>
      <xdr:rowOff>8385</xdr:rowOff>
    </xdr:to>
    <xdr:pic>
      <xdr:nvPicPr>
        <xdr:cNvPr id="2" name="Picture 3">
          <a:extLst>
            <a:ext uri="{FF2B5EF4-FFF2-40B4-BE49-F238E27FC236}">
              <a16:creationId xmlns:a16="http://schemas.microsoft.com/office/drawing/2014/main" id="{7D06CAB3-64A0-4F2B-A2E0-1CD53EF32495}"/>
            </a:ext>
          </a:extLst>
        </xdr:cNvPr>
        <xdr:cNvPicPr/>
      </xdr:nvPicPr>
      <xdr:blipFill>
        <a:blip xmlns:r="http://schemas.openxmlformats.org/officeDocument/2006/relationships" r:embed="rId1"/>
        <a:stretch/>
      </xdr:blipFill>
      <xdr:spPr>
        <a:xfrm>
          <a:off x="499110" y="114300"/>
          <a:ext cx="405195" cy="465585"/>
        </a:xfrm>
        <a:prstGeom prst="rect">
          <a:avLst/>
        </a:prstGeom>
        <a:ln w="9360">
          <a:noFill/>
        </a:ln>
      </xdr:spPr>
    </xdr:pic>
    <xdr:clientData/>
  </xdr:twoCellAnchor>
  <xdr:twoCellAnchor>
    <xdr:from>
      <xdr:col>9</xdr:col>
      <xdr:colOff>0</xdr:colOff>
      <xdr:row>0</xdr:row>
      <xdr:rowOff>68580</xdr:rowOff>
    </xdr:from>
    <xdr:to>
      <xdr:col>9</xdr:col>
      <xdr:colOff>411480</xdr:colOff>
      <xdr:row>2</xdr:row>
      <xdr:rowOff>60960</xdr:rowOff>
    </xdr:to>
    <xdr:pic>
      <xdr:nvPicPr>
        <xdr:cNvPr id="3" name="Picture 1">
          <a:extLst>
            <a:ext uri="{FF2B5EF4-FFF2-40B4-BE49-F238E27FC236}">
              <a16:creationId xmlns:a16="http://schemas.microsoft.com/office/drawing/2014/main" id="{5E733A67-EFE0-4040-A05A-7E1C9B03A5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18120" y="68580"/>
          <a:ext cx="411480" cy="373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433005</xdr:colOff>
      <xdr:row>0</xdr:row>
      <xdr:rowOff>76199</xdr:rowOff>
    </xdr:from>
    <xdr:to>
      <xdr:col>1</xdr:col>
      <xdr:colOff>133350</xdr:colOff>
      <xdr:row>2</xdr:row>
      <xdr:rowOff>127330</xdr:rowOff>
    </xdr:to>
    <xdr:pic>
      <xdr:nvPicPr>
        <xdr:cNvPr id="2" name="Picture 3">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tretch/>
      </xdr:blipFill>
      <xdr:spPr>
        <a:xfrm>
          <a:off x="433005" y="76199"/>
          <a:ext cx="386145" cy="432131"/>
        </a:xfrm>
        <a:prstGeom prst="rect">
          <a:avLst/>
        </a:prstGeom>
        <a:ln w="9360">
          <a:noFill/>
        </a:ln>
      </xdr:spPr>
    </xdr:pic>
    <xdr:clientData/>
  </xdr:twoCellAnchor>
  <xdr:twoCellAnchor>
    <xdr:from>
      <xdr:col>18</xdr:col>
      <xdr:colOff>160052</xdr:colOff>
      <xdr:row>0</xdr:row>
      <xdr:rowOff>0</xdr:rowOff>
    </xdr:from>
    <xdr:to>
      <xdr:col>20</xdr:col>
      <xdr:colOff>406399</xdr:colOff>
      <xdr:row>3</xdr:row>
      <xdr:rowOff>127000</xdr:rowOff>
    </xdr:to>
    <xdr:pic>
      <xdr:nvPicPr>
        <xdr:cNvPr id="3" name="Picture 1">
          <a:extLst>
            <a:ext uri="{FF2B5EF4-FFF2-40B4-BE49-F238E27FC236}">
              <a16:creationId xmlns:a16="http://schemas.microsoft.com/office/drawing/2014/main" id="{E3392155-8669-4410-8CCC-0C7EE4F7CF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31952" y="0"/>
          <a:ext cx="1465547" cy="660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530523</xdr:colOff>
      <xdr:row>0</xdr:row>
      <xdr:rowOff>102506</xdr:rowOff>
    </xdr:from>
    <xdr:to>
      <xdr:col>2</xdr:col>
      <xdr:colOff>304346</xdr:colOff>
      <xdr:row>2</xdr:row>
      <xdr:rowOff>172687</xdr:rowOff>
    </xdr:to>
    <xdr:pic>
      <xdr:nvPicPr>
        <xdr:cNvPr id="2" name="Picture 3">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a:stretch/>
      </xdr:blipFill>
      <xdr:spPr>
        <a:xfrm>
          <a:off x="1142844" y="102506"/>
          <a:ext cx="386145" cy="455717"/>
        </a:xfrm>
        <a:prstGeom prst="rect">
          <a:avLst/>
        </a:prstGeom>
        <a:ln w="9360">
          <a:noFill/>
        </a:ln>
      </xdr:spPr>
    </xdr:pic>
    <xdr:clientData/>
  </xdr:twoCellAnchor>
  <xdr:twoCellAnchor>
    <xdr:from>
      <xdr:col>10</xdr:col>
      <xdr:colOff>1</xdr:colOff>
      <xdr:row>0</xdr:row>
      <xdr:rowOff>0</xdr:rowOff>
    </xdr:from>
    <xdr:to>
      <xdr:col>10</xdr:col>
      <xdr:colOff>970643</xdr:colOff>
      <xdr:row>3</xdr:row>
      <xdr:rowOff>99784</xdr:rowOff>
    </xdr:to>
    <xdr:pic>
      <xdr:nvPicPr>
        <xdr:cNvPr id="3" name="Picture 1">
          <a:extLst>
            <a:ext uri="{FF2B5EF4-FFF2-40B4-BE49-F238E27FC236}">
              <a16:creationId xmlns:a16="http://schemas.microsoft.com/office/drawing/2014/main" id="{B0C3A1DF-FB14-4F52-B5A1-F64E7C22F1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14430" y="0"/>
          <a:ext cx="970642" cy="644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932685</xdr:colOff>
      <xdr:row>0</xdr:row>
      <xdr:rowOff>38099</xdr:rowOff>
    </xdr:from>
    <xdr:to>
      <xdr:col>2</xdr:col>
      <xdr:colOff>1461977</xdr:colOff>
      <xdr:row>2</xdr:row>
      <xdr:rowOff>108280</xdr:rowOff>
    </xdr:to>
    <xdr:pic>
      <xdr:nvPicPr>
        <xdr:cNvPr id="2" name="Picture 3">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a:stretch/>
      </xdr:blipFill>
      <xdr:spPr>
        <a:xfrm flipH="1">
          <a:off x="2804458" y="38099"/>
          <a:ext cx="529292" cy="446751"/>
        </a:xfrm>
        <a:prstGeom prst="rect">
          <a:avLst/>
        </a:prstGeom>
        <a:ln w="9360">
          <a:noFill/>
        </a:ln>
      </xdr:spPr>
    </xdr:pic>
    <xdr:clientData/>
  </xdr:twoCellAnchor>
  <xdr:twoCellAnchor>
    <xdr:from>
      <xdr:col>15</xdr:col>
      <xdr:colOff>0</xdr:colOff>
      <xdr:row>0</xdr:row>
      <xdr:rowOff>0</xdr:rowOff>
    </xdr:from>
    <xdr:to>
      <xdr:col>16</xdr:col>
      <xdr:colOff>381000</xdr:colOff>
      <xdr:row>2</xdr:row>
      <xdr:rowOff>161925</xdr:rowOff>
    </xdr:to>
    <xdr:pic>
      <xdr:nvPicPr>
        <xdr:cNvPr id="3" name="Picture 1">
          <a:extLst>
            <a:ext uri="{FF2B5EF4-FFF2-40B4-BE49-F238E27FC236}">
              <a16:creationId xmlns:a16="http://schemas.microsoft.com/office/drawing/2014/main" id="{963D7FA2-D99D-4E37-91F5-B732B7FC78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7100" y="0"/>
          <a:ext cx="90487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581025</xdr:colOff>
      <xdr:row>1</xdr:row>
      <xdr:rowOff>114300</xdr:rowOff>
    </xdr:from>
    <xdr:to>
      <xdr:col>1</xdr:col>
      <xdr:colOff>986220</xdr:colOff>
      <xdr:row>4</xdr:row>
      <xdr:rowOff>8385</xdr:rowOff>
    </xdr:to>
    <xdr:pic>
      <xdr:nvPicPr>
        <xdr:cNvPr id="2" name="Picture 3">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tretch/>
      </xdr:blipFill>
      <xdr:spPr>
        <a:xfrm>
          <a:off x="1143000" y="304800"/>
          <a:ext cx="405195" cy="465585"/>
        </a:xfrm>
        <a:prstGeom prst="rect">
          <a:avLst/>
        </a:prstGeom>
        <a:ln w="9360">
          <a:noFill/>
        </a:ln>
      </xdr:spPr>
    </xdr:pic>
    <xdr:clientData/>
  </xdr:twoCellAnchor>
  <xdr:twoCellAnchor>
    <xdr:from>
      <xdr:col>7</xdr:col>
      <xdr:colOff>38100</xdr:colOff>
      <xdr:row>1</xdr:row>
      <xdr:rowOff>91440</xdr:rowOff>
    </xdr:from>
    <xdr:to>
      <xdr:col>7</xdr:col>
      <xdr:colOff>682752</xdr:colOff>
      <xdr:row>3</xdr:row>
      <xdr:rowOff>160020</xdr:rowOff>
    </xdr:to>
    <xdr:pic>
      <xdr:nvPicPr>
        <xdr:cNvPr id="3" name="Picture 1">
          <a:extLst>
            <a:ext uri="{FF2B5EF4-FFF2-40B4-BE49-F238E27FC236}">
              <a16:creationId xmlns:a16="http://schemas.microsoft.com/office/drawing/2014/main" id="{3182AB6F-D88A-4BF4-BFC9-1B1EF0FA06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00060" y="274320"/>
          <a:ext cx="644652" cy="434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983411</xdr:colOff>
      <xdr:row>0</xdr:row>
      <xdr:rowOff>90375</xdr:rowOff>
    </xdr:from>
    <xdr:to>
      <xdr:col>4</xdr:col>
      <xdr:colOff>1317994</xdr:colOff>
      <xdr:row>2</xdr:row>
      <xdr:rowOff>160556</xdr:rowOff>
    </xdr:to>
    <xdr:pic>
      <xdr:nvPicPr>
        <xdr:cNvPr id="2" name="Picture 3">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tretch/>
      </xdr:blipFill>
      <xdr:spPr>
        <a:xfrm flipH="1">
          <a:off x="4605126" y="90375"/>
          <a:ext cx="334583" cy="446751"/>
        </a:xfrm>
        <a:prstGeom prst="rect">
          <a:avLst/>
        </a:prstGeom>
        <a:ln w="9360">
          <a:noFill/>
        </a:ln>
      </xdr:spPr>
    </xdr:pic>
    <xdr:clientData/>
  </xdr:twoCellAnchor>
  <xdr:twoCellAnchor>
    <xdr:from>
      <xdr:col>1</xdr:col>
      <xdr:colOff>0</xdr:colOff>
      <xdr:row>22</xdr:row>
      <xdr:rowOff>0</xdr:rowOff>
    </xdr:from>
    <xdr:to>
      <xdr:col>7</xdr:col>
      <xdr:colOff>420872</xdr:colOff>
      <xdr:row>44</xdr:row>
      <xdr:rowOff>104878</xdr:rowOff>
    </xdr:to>
    <xdr:graphicFrame macro="">
      <xdr:nvGraphicFramePr>
        <xdr:cNvPr id="5" name="Chart 4">
          <a:extLst>
            <a:ext uri="{FF2B5EF4-FFF2-40B4-BE49-F238E27FC236}">
              <a16:creationId xmlns:a16="http://schemas.microsoft.com/office/drawing/2014/main" id="{00000000-0008-0000-0F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88605</xdr:colOff>
      <xdr:row>22</xdr:row>
      <xdr:rowOff>143982</xdr:rowOff>
    </xdr:from>
    <xdr:to>
      <xdr:col>19</xdr:col>
      <xdr:colOff>102800</xdr:colOff>
      <xdr:row>42</xdr:row>
      <xdr:rowOff>22262</xdr:rowOff>
    </xdr:to>
    <xdr:graphicFrame macro="">
      <xdr:nvGraphicFramePr>
        <xdr:cNvPr id="6" name="Chart 5">
          <a:extLst>
            <a:ext uri="{FF2B5EF4-FFF2-40B4-BE49-F238E27FC236}">
              <a16:creationId xmlns:a16="http://schemas.microsoft.com/office/drawing/2014/main" id="{00000000-0008-0000-0F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478464</xdr:colOff>
      <xdr:row>1</xdr:row>
      <xdr:rowOff>124046</xdr:rowOff>
    </xdr:from>
    <xdr:to>
      <xdr:col>10</xdr:col>
      <xdr:colOff>891716</xdr:colOff>
      <xdr:row>3</xdr:row>
      <xdr:rowOff>140528</xdr:rowOff>
    </xdr:to>
    <xdr:pic>
      <xdr:nvPicPr>
        <xdr:cNvPr id="3" name="Picture 1">
          <a:extLst>
            <a:ext uri="{FF2B5EF4-FFF2-40B4-BE49-F238E27FC236}">
              <a16:creationId xmlns:a16="http://schemas.microsoft.com/office/drawing/2014/main" id="{E77582B3-B2F1-41EF-8228-E9A3509C939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403417" y="310116"/>
          <a:ext cx="413252" cy="388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2228814</xdr:colOff>
      <xdr:row>0</xdr:row>
      <xdr:rowOff>0</xdr:rowOff>
    </xdr:from>
    <xdr:to>
      <xdr:col>2</xdr:col>
      <xdr:colOff>2773763</xdr:colOff>
      <xdr:row>2</xdr:row>
      <xdr:rowOff>167473</xdr:rowOff>
    </xdr:to>
    <xdr:pic>
      <xdr:nvPicPr>
        <xdr:cNvPr id="2" name="Picture 3">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tretch/>
      </xdr:blipFill>
      <xdr:spPr>
        <a:xfrm flipH="1">
          <a:off x="3442990" y="0"/>
          <a:ext cx="544949" cy="544286"/>
        </a:xfrm>
        <a:prstGeom prst="rect">
          <a:avLst/>
        </a:prstGeom>
        <a:ln w="9360">
          <a:noFill/>
        </a:ln>
      </xdr:spPr>
    </xdr:pic>
    <xdr:clientData/>
  </xdr:twoCellAnchor>
  <xdr:twoCellAnchor>
    <xdr:from>
      <xdr:col>7</xdr:col>
      <xdr:colOff>41867</xdr:colOff>
      <xdr:row>0</xdr:row>
      <xdr:rowOff>125604</xdr:rowOff>
    </xdr:from>
    <xdr:to>
      <xdr:col>7</xdr:col>
      <xdr:colOff>455022</xdr:colOff>
      <xdr:row>3</xdr:row>
      <xdr:rowOff>16748</xdr:rowOff>
    </xdr:to>
    <xdr:pic>
      <xdr:nvPicPr>
        <xdr:cNvPr id="3" name="Picture 1">
          <a:extLst>
            <a:ext uri="{FF2B5EF4-FFF2-40B4-BE49-F238E27FC236}">
              <a16:creationId xmlns:a16="http://schemas.microsoft.com/office/drawing/2014/main" id="{C1585B6E-A55A-4690-B358-9EA4391E04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9318" y="125604"/>
          <a:ext cx="413155" cy="4438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ohn\Downloads\CO%20attainment%202021%20EDC%2022-23%20ODD%20updated%20-%20Copy%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ohn\Downloads\CO%20ATTAINMENT%20(2021-2022)%20CS3251-CSE%20(EV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DC IAT-1"/>
      <sheetName val="EDC IAT-2"/>
      <sheetName val="IAT REPORT"/>
      <sheetName val="RUBRICS"/>
      <sheetName val="END SEM"/>
      <sheetName val="INDIRECT"/>
      <sheetName val="OVERALL CO ATTAINMENT"/>
      <sheetName val="END REPORT"/>
      <sheetName val="FINAL REPORT"/>
      <sheetName val="CURRICULUM GAP"/>
    </sheetNames>
    <sheetDataSet>
      <sheetData sheetId="0" refreshError="1">
        <row r="12">
          <cell r="A12" t="str">
            <v>Course Outcomes:</v>
          </cell>
        </row>
      </sheetData>
      <sheetData sheetId="1" refreshError="1"/>
      <sheetData sheetId="2" refreshError="1">
        <row r="70">
          <cell r="A70" t="str">
            <v>No. of students attained more than 50% of marks in the relevant CO</v>
          </cell>
        </row>
        <row r="72">
          <cell r="A72" t="str">
            <v>Correlation Level</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1"/>
      <sheetName val="BL-2"/>
      <sheetName val="IAT-1"/>
      <sheetName val="IAT-2"/>
      <sheetName val="IAT-REPORT"/>
      <sheetName val="RUBRICS"/>
      <sheetName val="UNIV"/>
      <sheetName val="COURSE END SURVEY"/>
      <sheetName val="OVERALL CO ATT"/>
      <sheetName val="END REPORT"/>
      <sheetName val="FINAL REPORT"/>
      <sheetName val="CURR.GAP"/>
    </sheetNames>
    <sheetDataSet>
      <sheetData sheetId="0">
        <row r="4">
          <cell r="A4" t="str">
            <v>DEPARTMENT OF SCIENCE AND HUMANITIES</v>
          </cell>
        </row>
        <row r="12">
          <cell r="A12" t="str">
            <v>COURSE OUTCOMES:</v>
          </cell>
        </row>
        <row r="22">
          <cell r="B22" t="str">
            <v>CO 1</v>
          </cell>
        </row>
        <row r="23">
          <cell r="B23" t="str">
            <v>CO 2</v>
          </cell>
        </row>
        <row r="24">
          <cell r="B24" t="str">
            <v>CO 3</v>
          </cell>
        </row>
        <row r="25">
          <cell r="B25" t="str">
            <v>CO 4</v>
          </cell>
        </row>
        <row r="26">
          <cell r="B26" t="str">
            <v>CO 5</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5"/>
  <sheetViews>
    <sheetView topLeftCell="A13" zoomScale="97" zoomScaleNormal="97" workbookViewId="0">
      <selection activeCell="M31" sqref="M31:N31"/>
    </sheetView>
  </sheetViews>
  <sheetFormatPr defaultRowHeight="15" x14ac:dyDescent="0.25"/>
  <cols>
    <col min="1" max="1" width="10.42578125" customWidth="1"/>
    <col min="2" max="2" width="21.140625" customWidth="1"/>
    <col min="14" max="14" width="10.7109375" bestFit="1" customWidth="1"/>
  </cols>
  <sheetData>
    <row r="1" spans="1:16" x14ac:dyDescent="0.25">
      <c r="A1" s="331" t="s">
        <v>0</v>
      </c>
      <c r="B1" s="331"/>
      <c r="C1" s="331"/>
      <c r="D1" s="331"/>
      <c r="E1" s="331"/>
      <c r="F1" s="331"/>
      <c r="G1" s="331"/>
      <c r="H1" s="331"/>
      <c r="I1" s="331"/>
      <c r="J1" s="331"/>
      <c r="K1" s="331"/>
      <c r="L1" s="331"/>
      <c r="M1" s="42" t="s">
        <v>69</v>
      </c>
    </row>
    <row r="2" spans="1:16" x14ac:dyDescent="0.25">
      <c r="A2" s="332" t="s">
        <v>1</v>
      </c>
      <c r="B2" s="332"/>
      <c r="C2" s="332"/>
      <c r="D2" s="332"/>
      <c r="E2" s="332"/>
      <c r="F2" s="332"/>
      <c r="G2" s="332"/>
      <c r="H2" s="332"/>
      <c r="I2" s="332"/>
      <c r="J2" s="332"/>
      <c r="K2" s="332"/>
      <c r="L2" s="332"/>
    </row>
    <row r="3" spans="1:16" x14ac:dyDescent="0.25">
      <c r="A3" s="331" t="s">
        <v>2</v>
      </c>
      <c r="B3" s="331"/>
      <c r="C3" s="331"/>
      <c r="D3" s="331"/>
      <c r="E3" s="331"/>
      <c r="F3" s="331"/>
      <c r="G3" s="331"/>
      <c r="H3" s="331"/>
      <c r="I3" s="331"/>
      <c r="J3" s="331"/>
      <c r="K3" s="331"/>
      <c r="L3" s="331"/>
    </row>
    <row r="4" spans="1:16" x14ac:dyDescent="0.25">
      <c r="A4" s="331" t="s">
        <v>306</v>
      </c>
      <c r="B4" s="331"/>
      <c r="C4" s="331"/>
      <c r="D4" s="331"/>
      <c r="E4" s="331"/>
      <c r="F4" s="331"/>
      <c r="G4" s="331"/>
      <c r="H4" s="331"/>
      <c r="I4" s="331"/>
      <c r="J4" s="331"/>
      <c r="K4" s="331"/>
      <c r="L4" s="331"/>
    </row>
    <row r="5" spans="1:16" x14ac:dyDescent="0.25">
      <c r="A5" s="331" t="s">
        <v>70</v>
      </c>
      <c r="B5" s="331"/>
      <c r="C5" s="331"/>
      <c r="D5" s="331"/>
      <c r="E5" s="331"/>
      <c r="F5" s="331"/>
      <c r="G5" s="331"/>
      <c r="H5" s="331"/>
      <c r="I5" s="331"/>
      <c r="J5" s="331"/>
      <c r="K5" s="331"/>
      <c r="L5" s="331"/>
    </row>
    <row r="6" spans="1:16" x14ac:dyDescent="0.25">
      <c r="A6" s="331" t="s">
        <v>324</v>
      </c>
      <c r="B6" s="331"/>
      <c r="C6" s="331"/>
      <c r="D6" s="331"/>
      <c r="E6" s="331"/>
      <c r="F6" s="331"/>
      <c r="G6" s="331"/>
      <c r="H6" s="331"/>
      <c r="I6" s="331"/>
      <c r="J6" s="331"/>
      <c r="K6" s="331"/>
      <c r="L6" s="331"/>
    </row>
    <row r="7" spans="1:16" x14ac:dyDescent="0.25">
      <c r="A7" s="1"/>
      <c r="B7" s="1"/>
      <c r="C7" s="1"/>
      <c r="D7" s="1"/>
      <c r="E7" s="1"/>
      <c r="F7" s="1"/>
      <c r="G7" s="1"/>
      <c r="H7" s="1"/>
      <c r="I7" s="1"/>
      <c r="J7" s="1"/>
      <c r="K7" s="1"/>
      <c r="L7" s="1"/>
    </row>
    <row r="8" spans="1:16" x14ac:dyDescent="0.25">
      <c r="A8" s="324" t="s">
        <v>314</v>
      </c>
      <c r="B8" s="324"/>
      <c r="C8" s="324"/>
      <c r="D8" s="324"/>
      <c r="E8" s="324"/>
      <c r="F8" s="324"/>
      <c r="G8" s="324"/>
      <c r="H8" s="324"/>
      <c r="I8" s="42" t="s">
        <v>239</v>
      </c>
      <c r="J8" s="42"/>
      <c r="K8" s="42"/>
      <c r="L8" s="42"/>
      <c r="M8" s="42" t="s">
        <v>317</v>
      </c>
    </row>
    <row r="9" spans="1:16" x14ac:dyDescent="0.25">
      <c r="A9" s="324" t="s">
        <v>315</v>
      </c>
      <c r="B9" s="324"/>
      <c r="C9" s="324"/>
      <c r="D9" s="324"/>
      <c r="E9" s="324"/>
      <c r="F9" s="324"/>
      <c r="G9" s="324"/>
      <c r="H9" s="324"/>
      <c r="I9" s="42" t="s">
        <v>316</v>
      </c>
      <c r="J9" s="43"/>
      <c r="K9" s="43"/>
      <c r="L9" s="43"/>
      <c r="M9" s="167" t="s">
        <v>40</v>
      </c>
      <c r="N9" s="168" t="s">
        <v>318</v>
      </c>
      <c r="O9" s="167" t="s">
        <v>142</v>
      </c>
      <c r="P9" s="169" t="s">
        <v>307</v>
      </c>
    </row>
    <row r="10" spans="1:16" x14ac:dyDescent="0.25">
      <c r="A10" s="45"/>
      <c r="B10" s="45"/>
      <c r="C10" s="45"/>
      <c r="D10" s="45"/>
      <c r="E10" s="45"/>
      <c r="F10" s="45"/>
      <c r="G10" s="45"/>
      <c r="H10" s="45"/>
      <c r="I10" s="42"/>
      <c r="J10" s="43"/>
      <c r="K10" s="43"/>
      <c r="L10" s="43"/>
    </row>
    <row r="11" spans="1:16" x14ac:dyDescent="0.25">
      <c r="A11" s="44" t="s">
        <v>9</v>
      </c>
      <c r="B11" s="44"/>
      <c r="C11" s="45"/>
      <c r="D11" s="45"/>
      <c r="E11" s="45"/>
      <c r="F11" s="45"/>
      <c r="G11" s="45"/>
      <c r="H11" s="45"/>
      <c r="I11" s="42"/>
      <c r="J11" s="43"/>
      <c r="K11" s="43"/>
      <c r="L11" s="43"/>
    </row>
    <row r="12" spans="1:16" ht="15.75" x14ac:dyDescent="0.25">
      <c r="A12" s="12" t="s">
        <v>186</v>
      </c>
      <c r="B12" s="205" t="s">
        <v>319</v>
      </c>
      <c r="D12" s="1"/>
      <c r="E12" s="1"/>
      <c r="F12" s="1"/>
      <c r="G12" s="1"/>
      <c r="H12" s="1"/>
      <c r="I12" s="42"/>
      <c r="J12" s="43"/>
      <c r="K12" s="43"/>
      <c r="L12" s="43"/>
    </row>
    <row r="13" spans="1:16" ht="15.75" x14ac:dyDescent="0.25">
      <c r="A13" s="12" t="s">
        <v>187</v>
      </c>
      <c r="B13" s="205" t="s">
        <v>320</v>
      </c>
      <c r="D13" s="1"/>
      <c r="E13" s="1"/>
      <c r="F13" s="1"/>
      <c r="G13" s="1"/>
      <c r="H13" s="1"/>
      <c r="I13" s="46"/>
    </row>
    <row r="14" spans="1:16" ht="15.75" x14ac:dyDescent="0.25">
      <c r="A14" s="12" t="s">
        <v>188</v>
      </c>
      <c r="B14" s="205" t="s">
        <v>321</v>
      </c>
      <c r="D14" s="1"/>
      <c r="I14" s="42"/>
      <c r="J14" s="43"/>
      <c r="K14" s="43"/>
      <c r="L14" s="43"/>
    </row>
    <row r="15" spans="1:16" ht="15.75" x14ac:dyDescent="0.25">
      <c r="A15" s="12" t="s">
        <v>189</v>
      </c>
      <c r="B15" s="205" t="s">
        <v>322</v>
      </c>
      <c r="D15" s="1"/>
      <c r="E15" s="1"/>
      <c r="F15" s="1"/>
      <c r="G15" s="1"/>
      <c r="H15" s="1"/>
      <c r="I15" s="42"/>
      <c r="J15" s="43"/>
      <c r="K15" s="43"/>
      <c r="L15" s="43"/>
    </row>
    <row r="16" spans="1:16" ht="15.75" x14ac:dyDescent="0.25">
      <c r="A16" s="12" t="s">
        <v>190</v>
      </c>
      <c r="B16" s="205" t="s">
        <v>323</v>
      </c>
      <c r="D16" s="1"/>
      <c r="H16" s="1"/>
      <c r="I16" s="42"/>
      <c r="J16" s="43"/>
      <c r="K16" s="43"/>
      <c r="L16" s="43"/>
    </row>
    <row r="17" spans="1:14" ht="19.5" customHeight="1" x14ac:dyDescent="0.25">
      <c r="A17" s="45"/>
      <c r="B17" s="13"/>
      <c r="C17" s="45"/>
      <c r="D17" s="45"/>
      <c r="E17" s="45"/>
      <c r="F17" s="45"/>
      <c r="G17" s="45"/>
      <c r="H17" s="45"/>
      <c r="I17" s="42"/>
      <c r="J17" s="43"/>
      <c r="K17" s="43"/>
      <c r="L17" s="43"/>
    </row>
    <row r="18" spans="1:14" ht="27.75" customHeight="1" x14ac:dyDescent="0.25">
      <c r="A18" s="325"/>
      <c r="B18" s="327" t="s">
        <v>71</v>
      </c>
      <c r="C18" s="328" t="s">
        <v>72</v>
      </c>
      <c r="D18" s="329"/>
      <c r="E18" s="329"/>
      <c r="F18" s="329"/>
      <c r="G18" s="330"/>
      <c r="H18" s="328" t="s">
        <v>106</v>
      </c>
      <c r="I18" s="329"/>
      <c r="J18" s="329"/>
      <c r="K18" s="329"/>
      <c r="L18" s="329"/>
      <c r="M18" s="312" t="s">
        <v>143</v>
      </c>
      <c r="N18" s="314" t="s">
        <v>73</v>
      </c>
    </row>
    <row r="19" spans="1:14" ht="25.5" customHeight="1" x14ac:dyDescent="0.25">
      <c r="A19" s="326"/>
      <c r="B19" s="315"/>
      <c r="C19" s="284">
        <v>1</v>
      </c>
      <c r="D19" s="284">
        <v>2</v>
      </c>
      <c r="E19" s="284">
        <v>3</v>
      </c>
      <c r="F19" s="284">
        <v>4</v>
      </c>
      <c r="G19" s="284">
        <v>5</v>
      </c>
      <c r="H19" s="284">
        <v>6</v>
      </c>
      <c r="I19" s="284">
        <v>7</v>
      </c>
      <c r="J19" s="284">
        <v>8</v>
      </c>
      <c r="K19" s="284">
        <v>9</v>
      </c>
      <c r="L19" s="284">
        <v>10</v>
      </c>
      <c r="M19" s="313"/>
      <c r="N19" s="315"/>
    </row>
    <row r="20" spans="1:14" ht="19.5" x14ac:dyDescent="0.25">
      <c r="A20" s="316" t="s">
        <v>74</v>
      </c>
      <c r="B20" s="285" t="str">
        <f>A12</f>
        <v>CO 1</v>
      </c>
      <c r="C20" s="289" t="s">
        <v>223</v>
      </c>
      <c r="D20" s="289" t="s">
        <v>223</v>
      </c>
      <c r="E20" s="289"/>
      <c r="F20" s="290"/>
      <c r="G20" s="289"/>
      <c r="H20" s="289" t="s">
        <v>223</v>
      </c>
      <c r="I20" s="289"/>
      <c r="J20" s="289"/>
      <c r="K20" s="289"/>
      <c r="L20" s="289" t="s">
        <v>223</v>
      </c>
      <c r="M20" s="291">
        <f>COUNTIF(C20:G20,"*")*2+COUNTIF(H20:K20,"*")*7+COUNTIF(L20,"*")*12</f>
        <v>23</v>
      </c>
      <c r="N20" s="292">
        <f>ROUND(M20/50*100,1)</f>
        <v>46</v>
      </c>
    </row>
    <row r="21" spans="1:14" ht="19.5" x14ac:dyDescent="0.25">
      <c r="A21" s="317"/>
      <c r="B21" s="285" t="str">
        <f>A13</f>
        <v>CO 2</v>
      </c>
      <c r="C21" s="28"/>
      <c r="D21" s="293"/>
      <c r="E21" s="289" t="s">
        <v>223</v>
      </c>
      <c r="F21" s="289" t="s">
        <v>223</v>
      </c>
      <c r="G21" s="289"/>
      <c r="H21" s="289"/>
      <c r="I21" s="289" t="s">
        <v>223</v>
      </c>
      <c r="J21" s="289" t="s">
        <v>223</v>
      </c>
      <c r="K21" s="289"/>
      <c r="L21" s="289"/>
      <c r="M21" s="291">
        <f t="shared" ref="M21:M30" si="0">COUNTIF(C21:G21,"*")*2+COUNTIF(H21:K21,"*")*7+COUNTIF(L21,"*")*12</f>
        <v>18</v>
      </c>
      <c r="N21" s="292">
        <f t="shared" ref="N21:N30" si="1">ROUND(M21/50*100,1)</f>
        <v>36</v>
      </c>
    </row>
    <row r="22" spans="1:14" ht="19.5" x14ac:dyDescent="0.25">
      <c r="A22" s="317"/>
      <c r="B22" s="285" t="str">
        <f>A14</f>
        <v>CO 3</v>
      </c>
      <c r="C22" s="290"/>
      <c r="D22" s="290"/>
      <c r="E22" s="28"/>
      <c r="F22" s="290"/>
      <c r="G22" s="289" t="s">
        <v>223</v>
      </c>
      <c r="H22" s="289"/>
      <c r="I22" s="289"/>
      <c r="J22" s="289"/>
      <c r="K22" s="289" t="s">
        <v>223</v>
      </c>
      <c r="L22" s="289"/>
      <c r="M22" s="291">
        <f t="shared" si="0"/>
        <v>9</v>
      </c>
      <c r="N22" s="292">
        <f t="shared" si="1"/>
        <v>18</v>
      </c>
    </row>
    <row r="23" spans="1:14" ht="19.5" x14ac:dyDescent="0.25">
      <c r="A23" s="317"/>
      <c r="B23" s="285" t="str">
        <f>A15</f>
        <v>CO 4</v>
      </c>
      <c r="C23" s="290"/>
      <c r="D23" s="289"/>
      <c r="E23" s="290"/>
      <c r="F23" s="290"/>
      <c r="G23" s="290"/>
      <c r="H23" s="289"/>
      <c r="I23" s="289"/>
      <c r="J23" s="289"/>
      <c r="K23" s="289"/>
      <c r="L23" s="289"/>
      <c r="M23" s="291">
        <f t="shared" si="0"/>
        <v>0</v>
      </c>
      <c r="N23" s="292">
        <f t="shared" si="1"/>
        <v>0</v>
      </c>
    </row>
    <row r="24" spans="1:14" ht="19.5" x14ac:dyDescent="0.25">
      <c r="A24" s="318"/>
      <c r="B24" s="285" t="str">
        <f>A16</f>
        <v>CO 5</v>
      </c>
      <c r="C24" s="290"/>
      <c r="D24" s="290"/>
      <c r="E24" s="290"/>
      <c r="F24" s="290"/>
      <c r="G24" s="290"/>
      <c r="H24" s="289"/>
      <c r="I24" s="289"/>
      <c r="J24" s="289"/>
      <c r="K24" s="289"/>
      <c r="L24" s="289"/>
      <c r="M24" s="291">
        <f t="shared" si="0"/>
        <v>0</v>
      </c>
      <c r="N24" s="292">
        <f t="shared" si="1"/>
        <v>0</v>
      </c>
    </row>
    <row r="25" spans="1:14" ht="19.5" x14ac:dyDescent="0.25">
      <c r="A25" s="319" t="s">
        <v>75</v>
      </c>
      <c r="B25" s="294" t="s">
        <v>76</v>
      </c>
      <c r="C25" s="289"/>
      <c r="D25" s="289"/>
      <c r="E25" s="289" t="s">
        <v>223</v>
      </c>
      <c r="F25" s="289"/>
      <c r="G25" s="289"/>
      <c r="H25" s="289"/>
      <c r="I25" s="289"/>
      <c r="J25" s="289"/>
      <c r="K25" s="289"/>
      <c r="L25" s="289"/>
      <c r="M25" s="291">
        <f t="shared" si="0"/>
        <v>2</v>
      </c>
      <c r="N25" s="292">
        <f t="shared" si="1"/>
        <v>4</v>
      </c>
    </row>
    <row r="26" spans="1:14" ht="19.5" x14ac:dyDescent="0.25">
      <c r="A26" s="320"/>
      <c r="B26" s="294" t="s">
        <v>77</v>
      </c>
      <c r="C26" s="289" t="s">
        <v>223</v>
      </c>
      <c r="D26" s="289" t="s">
        <v>223</v>
      </c>
      <c r="E26" s="289"/>
      <c r="F26" s="289" t="s">
        <v>223</v>
      </c>
      <c r="G26" s="289" t="s">
        <v>223</v>
      </c>
      <c r="H26" s="289" t="s">
        <v>223</v>
      </c>
      <c r="I26" s="289" t="s">
        <v>223</v>
      </c>
      <c r="J26" s="289" t="s">
        <v>223</v>
      </c>
      <c r="K26" s="289" t="s">
        <v>223</v>
      </c>
      <c r="L26" s="289" t="s">
        <v>223</v>
      </c>
      <c r="M26" s="291">
        <f>COUNTIF(C26:G26,"*")*2+COUNTIF(H26:K26,"*")*7+COUNTIF(L26,"*")*12</f>
        <v>48</v>
      </c>
      <c r="N26" s="292">
        <f t="shared" si="1"/>
        <v>96</v>
      </c>
    </row>
    <row r="27" spans="1:14" ht="19.5" x14ac:dyDescent="0.25">
      <c r="A27" s="320"/>
      <c r="B27" s="294" t="s">
        <v>78</v>
      </c>
      <c r="C27" s="289"/>
      <c r="D27" s="289"/>
      <c r="E27" s="289"/>
      <c r="F27" s="289"/>
      <c r="G27" s="289"/>
      <c r="H27" s="289"/>
      <c r="I27" s="289"/>
      <c r="J27" s="289"/>
      <c r="K27" s="289"/>
      <c r="L27" s="289"/>
      <c r="M27" s="291">
        <f>COUNTIF(C27:G27,"*")*2+COUNTIF(H27:K27,"*")*7+COUNTIF(L27,"*")*12</f>
        <v>0</v>
      </c>
      <c r="N27" s="292">
        <f t="shared" si="1"/>
        <v>0</v>
      </c>
    </row>
    <row r="28" spans="1:14" ht="19.5" x14ac:dyDescent="0.25">
      <c r="A28" s="320"/>
      <c r="B28" s="294" t="s">
        <v>79</v>
      </c>
      <c r="C28" s="289"/>
      <c r="D28" s="289"/>
      <c r="E28" s="289"/>
      <c r="F28" s="289"/>
      <c r="G28" s="289"/>
      <c r="H28" s="289"/>
      <c r="I28" s="289"/>
      <c r="J28" s="289" t="s">
        <v>223</v>
      </c>
      <c r="K28" s="289"/>
      <c r="L28" s="289"/>
      <c r="M28" s="291">
        <f t="shared" si="0"/>
        <v>7</v>
      </c>
      <c r="N28" s="292">
        <f t="shared" si="1"/>
        <v>14</v>
      </c>
    </row>
    <row r="29" spans="1:14" ht="19.5" x14ac:dyDescent="0.25">
      <c r="A29" s="320"/>
      <c r="B29" s="294" t="s">
        <v>80</v>
      </c>
      <c r="C29" s="289"/>
      <c r="D29" s="289"/>
      <c r="E29" s="289"/>
      <c r="F29" s="289"/>
      <c r="G29" s="289"/>
      <c r="H29" s="289"/>
      <c r="I29" s="289"/>
      <c r="J29" s="289"/>
      <c r="K29" s="289"/>
      <c r="L29" s="289"/>
      <c r="M29" s="291">
        <f t="shared" si="0"/>
        <v>0</v>
      </c>
      <c r="N29" s="292">
        <f t="shared" si="1"/>
        <v>0</v>
      </c>
    </row>
    <row r="30" spans="1:14" ht="19.5" x14ac:dyDescent="0.25">
      <c r="A30" s="321"/>
      <c r="B30" s="294" t="s">
        <v>81</v>
      </c>
      <c r="C30" s="289"/>
      <c r="D30" s="289"/>
      <c r="E30" s="289"/>
      <c r="F30" s="289"/>
      <c r="G30" s="289"/>
      <c r="H30" s="289" t="s">
        <v>223</v>
      </c>
      <c r="I30" s="289"/>
      <c r="J30" s="289"/>
      <c r="K30" s="289"/>
      <c r="L30" s="289" t="s">
        <v>223</v>
      </c>
      <c r="M30" s="291">
        <f t="shared" si="0"/>
        <v>19</v>
      </c>
      <c r="N30" s="292">
        <f t="shared" si="1"/>
        <v>38</v>
      </c>
    </row>
    <row r="31" spans="1:14" x14ac:dyDescent="0.25">
      <c r="A31" s="304" t="s">
        <v>82</v>
      </c>
      <c r="B31" s="305"/>
      <c r="C31" s="305"/>
      <c r="D31" s="305"/>
      <c r="E31" s="305"/>
      <c r="F31" s="305"/>
      <c r="G31" s="305"/>
      <c r="H31" s="305"/>
      <c r="I31" s="305"/>
      <c r="J31" s="305"/>
      <c r="K31" s="305"/>
      <c r="L31" s="306"/>
      <c r="M31" s="322" t="s">
        <v>318</v>
      </c>
      <c r="N31" s="323"/>
    </row>
    <row r="32" spans="1:14" x14ac:dyDescent="0.25">
      <c r="A32" s="304" t="s">
        <v>83</v>
      </c>
      <c r="B32" s="305"/>
      <c r="C32" s="305"/>
      <c r="D32" s="305"/>
      <c r="E32" s="305"/>
      <c r="F32" s="305"/>
      <c r="G32" s="305"/>
      <c r="H32" s="305"/>
      <c r="I32" s="305"/>
      <c r="J32" s="305"/>
      <c r="K32" s="305"/>
      <c r="L32" s="306"/>
      <c r="M32" s="307"/>
      <c r="N32" s="308"/>
    </row>
    <row r="33" spans="1:16" x14ac:dyDescent="0.25">
      <c r="A33" s="304" t="s">
        <v>84</v>
      </c>
      <c r="B33" s="305"/>
      <c r="C33" s="305"/>
      <c r="D33" s="305"/>
      <c r="E33" s="305"/>
      <c r="F33" s="305"/>
      <c r="G33" s="305"/>
      <c r="H33" s="305"/>
      <c r="I33" s="305"/>
      <c r="J33" s="305"/>
      <c r="K33" s="305"/>
      <c r="L33" s="306"/>
      <c r="M33" s="307"/>
      <c r="N33" s="308"/>
    </row>
    <row r="34" spans="1:16" x14ac:dyDescent="0.25">
      <c r="A34" s="304" t="s">
        <v>85</v>
      </c>
      <c r="B34" s="305"/>
      <c r="C34" s="305"/>
      <c r="D34" s="305"/>
      <c r="E34" s="305"/>
      <c r="F34" s="305"/>
      <c r="G34" s="305"/>
      <c r="H34" s="305"/>
      <c r="I34" s="305"/>
      <c r="J34" s="305"/>
      <c r="K34" s="305"/>
      <c r="L34" s="306"/>
      <c r="M34" s="307"/>
      <c r="N34" s="308"/>
    </row>
    <row r="39" spans="1:16" ht="21" x14ac:dyDescent="0.35">
      <c r="B39" s="50" t="s">
        <v>88</v>
      </c>
      <c r="C39" s="309" t="s">
        <v>89</v>
      </c>
      <c r="D39" s="310"/>
      <c r="E39" s="310"/>
      <c r="F39" s="310"/>
      <c r="G39" s="310"/>
      <c r="H39" s="310"/>
      <c r="I39" s="310"/>
      <c r="J39" s="310"/>
      <c r="K39" s="310"/>
      <c r="L39" s="310"/>
      <c r="M39" s="310"/>
      <c r="N39" s="310"/>
      <c r="O39" s="310"/>
      <c r="P39" s="311"/>
    </row>
    <row r="40" spans="1:16" ht="30" customHeight="1" x14ac:dyDescent="0.3">
      <c r="B40" s="51" t="s">
        <v>76</v>
      </c>
      <c r="C40" s="301" t="s">
        <v>90</v>
      </c>
      <c r="D40" s="302"/>
      <c r="E40" s="302"/>
      <c r="F40" s="302"/>
      <c r="G40" s="302"/>
      <c r="H40" s="302"/>
      <c r="I40" s="302"/>
      <c r="J40" s="302"/>
      <c r="K40" s="302"/>
      <c r="L40" s="302"/>
      <c r="M40" s="302"/>
      <c r="N40" s="302"/>
      <c r="O40" s="302"/>
      <c r="P40" s="303"/>
    </row>
    <row r="41" spans="1:16" ht="30" customHeight="1" x14ac:dyDescent="0.3">
      <c r="B41" s="51" t="s">
        <v>77</v>
      </c>
      <c r="C41" s="301" t="s">
        <v>92</v>
      </c>
      <c r="D41" s="302"/>
      <c r="E41" s="302"/>
      <c r="F41" s="302"/>
      <c r="G41" s="302"/>
      <c r="H41" s="302"/>
      <c r="I41" s="302"/>
      <c r="J41" s="302"/>
      <c r="K41" s="302"/>
      <c r="L41" s="302"/>
      <c r="M41" s="302"/>
      <c r="N41" s="302"/>
      <c r="O41" s="302"/>
      <c r="P41" s="303"/>
    </row>
    <row r="42" spans="1:16" ht="30.75" customHeight="1" x14ac:dyDescent="0.3">
      <c r="B42" s="51" t="s">
        <v>78</v>
      </c>
      <c r="C42" s="301" t="s">
        <v>91</v>
      </c>
      <c r="D42" s="302"/>
      <c r="E42" s="302"/>
      <c r="F42" s="302"/>
      <c r="G42" s="302"/>
      <c r="H42" s="302"/>
      <c r="I42" s="302"/>
      <c r="J42" s="302"/>
      <c r="K42" s="302"/>
      <c r="L42" s="302"/>
      <c r="M42" s="302"/>
      <c r="N42" s="302"/>
      <c r="O42" s="302"/>
      <c r="P42" s="303"/>
    </row>
    <row r="43" spans="1:16" ht="25.5" customHeight="1" x14ac:dyDescent="0.3">
      <c r="B43" s="51" t="s">
        <v>79</v>
      </c>
      <c r="C43" s="301" t="s">
        <v>93</v>
      </c>
      <c r="D43" s="302"/>
      <c r="E43" s="302"/>
      <c r="F43" s="302"/>
      <c r="G43" s="302"/>
      <c r="H43" s="302"/>
      <c r="I43" s="302"/>
      <c r="J43" s="302"/>
      <c r="K43" s="302"/>
      <c r="L43" s="302"/>
      <c r="M43" s="302"/>
      <c r="N43" s="302"/>
      <c r="O43" s="302"/>
      <c r="P43" s="303"/>
    </row>
    <row r="44" spans="1:16" ht="26.25" customHeight="1" x14ac:dyDescent="0.3">
      <c r="B44" s="51" t="s">
        <v>80</v>
      </c>
      <c r="C44" s="301" t="s">
        <v>94</v>
      </c>
      <c r="D44" s="302"/>
      <c r="E44" s="302"/>
      <c r="F44" s="302"/>
      <c r="G44" s="302"/>
      <c r="H44" s="302"/>
      <c r="I44" s="302"/>
      <c r="J44" s="302"/>
      <c r="K44" s="302"/>
      <c r="L44" s="302"/>
      <c r="M44" s="302"/>
      <c r="N44" s="302"/>
      <c r="O44" s="302"/>
      <c r="P44" s="303"/>
    </row>
    <row r="45" spans="1:16" ht="28.5" customHeight="1" x14ac:dyDescent="0.3">
      <c r="B45" s="51" t="s">
        <v>81</v>
      </c>
      <c r="C45" s="301" t="s">
        <v>95</v>
      </c>
      <c r="D45" s="302"/>
      <c r="E45" s="302"/>
      <c r="F45" s="302"/>
      <c r="G45" s="302"/>
      <c r="H45" s="302"/>
      <c r="I45" s="302"/>
      <c r="J45" s="302"/>
      <c r="K45" s="302"/>
      <c r="L45" s="302"/>
      <c r="M45" s="302"/>
      <c r="N45" s="302"/>
      <c r="O45" s="302"/>
      <c r="P45" s="303"/>
    </row>
  </sheetData>
  <mergeCells count="31">
    <mergeCell ref="A6:L6"/>
    <mergeCell ref="A1:L1"/>
    <mergeCell ref="A2:L2"/>
    <mergeCell ref="A3:L3"/>
    <mergeCell ref="A4:L4"/>
    <mergeCell ref="A5:L5"/>
    <mergeCell ref="A8:H8"/>
    <mergeCell ref="A9:H9"/>
    <mergeCell ref="A18:A19"/>
    <mergeCell ref="B18:B19"/>
    <mergeCell ref="C18:G18"/>
    <mergeCell ref="H18:L18"/>
    <mergeCell ref="M18:M19"/>
    <mergeCell ref="N18:N19"/>
    <mergeCell ref="A20:A24"/>
    <mergeCell ref="A25:A30"/>
    <mergeCell ref="A31:L31"/>
    <mergeCell ref="M31:N31"/>
    <mergeCell ref="C44:P44"/>
    <mergeCell ref="C45:P45"/>
    <mergeCell ref="A32:L32"/>
    <mergeCell ref="M32:N32"/>
    <mergeCell ref="A33:L33"/>
    <mergeCell ref="M33:N33"/>
    <mergeCell ref="A34:L34"/>
    <mergeCell ref="M34:N34"/>
    <mergeCell ref="C39:P39"/>
    <mergeCell ref="C40:P40"/>
    <mergeCell ref="C41:P41"/>
    <mergeCell ref="C42:P42"/>
    <mergeCell ref="C43:P43"/>
  </mergeCells>
  <pageMargins left="0.7" right="0.7" top="0.75" bottom="0.75" header="0.3" footer="0.3"/>
  <pageSetup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9"/>
  <sheetViews>
    <sheetView topLeftCell="A16" workbookViewId="0">
      <selection activeCell="E25" sqref="E25"/>
    </sheetView>
  </sheetViews>
  <sheetFormatPr defaultRowHeight="15" x14ac:dyDescent="0.25"/>
  <cols>
    <col min="1" max="1" width="10.5703125" customWidth="1"/>
    <col min="2" max="2" width="13.42578125" customWidth="1"/>
    <col min="14" max="14" width="10.42578125" bestFit="1" customWidth="1"/>
  </cols>
  <sheetData>
    <row r="1" spans="1:16" x14ac:dyDescent="0.25">
      <c r="A1" s="331" t="str">
        <f>'BL-1'!A1:L1</f>
        <v>JAYARAJ ANNAPACKIAM C. S. I. COLLEGE OF ENGINEERING</v>
      </c>
      <c r="B1" s="331"/>
      <c r="C1" s="331"/>
      <c r="D1" s="331"/>
      <c r="E1" s="331"/>
      <c r="F1" s="331"/>
      <c r="G1" s="331"/>
      <c r="H1" s="331"/>
      <c r="I1" s="331"/>
      <c r="J1" s="331"/>
      <c r="K1" s="331"/>
      <c r="L1" s="331"/>
      <c r="M1" s="42" t="s">
        <v>69</v>
      </c>
    </row>
    <row r="2" spans="1:16" x14ac:dyDescent="0.25">
      <c r="A2" s="331" t="str">
        <f>'BL-1'!A2:L2</f>
        <v>(Approved by AICTE, New Delhi and Affiliated to Anna University)</v>
      </c>
      <c r="B2" s="331"/>
      <c r="C2" s="331"/>
      <c r="D2" s="331"/>
      <c r="E2" s="331"/>
      <c r="F2" s="331"/>
      <c r="G2" s="331"/>
      <c r="H2" s="331"/>
      <c r="I2" s="331"/>
      <c r="J2" s="331"/>
      <c r="K2" s="331"/>
      <c r="L2" s="331"/>
    </row>
    <row r="3" spans="1:16" x14ac:dyDescent="0.25">
      <c r="A3" s="331" t="str">
        <f>'BL-1'!A3:L3</f>
        <v>MARGOSCHIS NAGAR, NAZARETH - 628 617</v>
      </c>
      <c r="B3" s="331"/>
      <c r="C3" s="331"/>
      <c r="D3" s="331"/>
      <c r="E3" s="331"/>
      <c r="F3" s="331"/>
      <c r="G3" s="331"/>
      <c r="H3" s="331"/>
      <c r="I3" s="331"/>
      <c r="J3" s="331"/>
      <c r="K3" s="331"/>
      <c r="L3" s="331"/>
    </row>
    <row r="4" spans="1:16" x14ac:dyDescent="0.25">
      <c r="A4" s="331" t="str">
        <f>'BL-1'!A4:L4</f>
        <v>DEPARTMENT OF ARTIFICIAL INTELLIGENCE AND DATA SCIENCE</v>
      </c>
      <c r="B4" s="331"/>
      <c r="C4" s="331"/>
      <c r="D4" s="331"/>
      <c r="E4" s="331"/>
      <c r="F4" s="331"/>
      <c r="G4" s="331"/>
      <c r="H4" s="331"/>
      <c r="I4" s="331"/>
      <c r="J4" s="331"/>
      <c r="K4" s="331"/>
      <c r="L4" s="331"/>
    </row>
    <row r="5" spans="1:16" x14ac:dyDescent="0.25">
      <c r="A5" s="331" t="str">
        <f>'BL-1'!A5:L5</f>
        <v>QUESTION PAPER CO / BT MAPPING</v>
      </c>
      <c r="B5" s="331"/>
      <c r="C5" s="331"/>
      <c r="D5" s="331"/>
      <c r="E5" s="331"/>
      <c r="F5" s="331"/>
      <c r="G5" s="331"/>
      <c r="H5" s="331"/>
      <c r="I5" s="331"/>
      <c r="J5" s="331"/>
      <c r="K5" s="331"/>
      <c r="L5" s="331"/>
    </row>
    <row r="6" spans="1:16" x14ac:dyDescent="0.25">
      <c r="A6" s="331" t="s">
        <v>325</v>
      </c>
      <c r="B6" s="331"/>
      <c r="C6" s="331"/>
      <c r="D6" s="331"/>
      <c r="E6" s="331"/>
      <c r="F6" s="331"/>
      <c r="G6" s="331"/>
      <c r="H6" s="331"/>
      <c r="I6" s="331"/>
      <c r="J6" s="331"/>
      <c r="K6" s="331"/>
      <c r="L6" s="331"/>
    </row>
    <row r="7" spans="1:16" x14ac:dyDescent="0.25">
      <c r="A7" s="1"/>
      <c r="B7" s="1"/>
      <c r="C7" s="1"/>
      <c r="D7" s="1"/>
      <c r="E7" s="1"/>
      <c r="F7" s="1"/>
      <c r="G7" s="1"/>
      <c r="H7" s="1"/>
      <c r="I7" s="1"/>
      <c r="J7" s="1"/>
      <c r="K7" s="1"/>
      <c r="L7" s="1"/>
    </row>
    <row r="8" spans="1:16" x14ac:dyDescent="0.25">
      <c r="A8" s="343" t="str">
        <f>'BL-1'!A8:H8</f>
        <v>COURSE CODE / NAME: CW3551 DATA AND INFORMATION SECURITY</v>
      </c>
      <c r="B8" s="343"/>
      <c r="C8" s="343"/>
      <c r="D8" s="343"/>
      <c r="E8" s="343"/>
      <c r="F8" s="343"/>
      <c r="G8" s="343"/>
      <c r="H8" s="343"/>
      <c r="I8" s="42" t="str">
        <f>'BL-1'!I8</f>
        <v>BATCH: 2023-2027</v>
      </c>
      <c r="J8" s="42"/>
      <c r="K8" s="42"/>
      <c r="L8" s="42"/>
      <c r="M8" s="42" t="str">
        <f>'BL-1'!M8</f>
        <v>SEM:05</v>
      </c>
    </row>
    <row r="9" spans="1:16" x14ac:dyDescent="0.25">
      <c r="A9" s="343" t="str">
        <f>'BL-1'!A9:H9</f>
        <v>COURSE INSTRUCTOR/DESIGNATION: G. ALISHA EVANGELINE,AP/ADS</v>
      </c>
      <c r="B9" s="343"/>
      <c r="C9" s="343"/>
      <c r="D9" s="343"/>
      <c r="E9" s="343"/>
      <c r="F9" s="343"/>
      <c r="G9" s="343"/>
      <c r="H9" s="343"/>
      <c r="I9" s="42" t="str">
        <f>'BL-1'!I9</f>
        <v>CLASS  : III ADS</v>
      </c>
      <c r="J9" s="43"/>
      <c r="K9" s="43"/>
      <c r="L9" s="43"/>
      <c r="M9" s="7" t="str">
        <f>'BL-1'!M9</f>
        <v>DATE:</v>
      </c>
      <c r="N9" s="125">
        <v>45758</v>
      </c>
      <c r="O9" s="7" t="str">
        <f>'BL-1'!O9</f>
        <v>TIME:</v>
      </c>
      <c r="P9" t="s">
        <v>161</v>
      </c>
    </row>
    <row r="10" spans="1:16" x14ac:dyDescent="0.25">
      <c r="A10" s="45"/>
      <c r="B10" s="45"/>
      <c r="C10" s="45"/>
      <c r="D10" s="45"/>
      <c r="E10" s="45"/>
      <c r="F10" s="45"/>
      <c r="G10" s="45"/>
      <c r="H10" s="45"/>
      <c r="I10" s="42"/>
      <c r="J10" s="43"/>
      <c r="K10" s="43"/>
      <c r="L10" s="43"/>
    </row>
    <row r="11" spans="1:16" x14ac:dyDescent="0.25">
      <c r="A11" s="44" t="s">
        <v>9</v>
      </c>
      <c r="B11" s="44"/>
      <c r="C11" s="45"/>
      <c r="D11" s="45"/>
      <c r="E11" s="45"/>
      <c r="F11" s="45"/>
      <c r="G11" s="45"/>
      <c r="H11" s="45"/>
      <c r="I11" s="42"/>
      <c r="J11" s="43"/>
      <c r="K11" s="43"/>
      <c r="L11" s="43"/>
    </row>
    <row r="12" spans="1:16" x14ac:dyDescent="0.25">
      <c r="A12" s="118" t="str">
        <f>'BL-1'!A12</f>
        <v>CO 1</v>
      </c>
      <c r="B12" s="116" t="str">
        <f>'BL-1'!B12</f>
        <v>Understand the basics of data and information security</v>
      </c>
      <c r="C12" s="1"/>
      <c r="D12" s="1"/>
      <c r="E12" s="1"/>
      <c r="F12" s="1"/>
      <c r="G12" s="1"/>
      <c r="H12" s="1"/>
      <c r="I12" s="42"/>
      <c r="J12" s="43"/>
      <c r="K12" s="43"/>
      <c r="L12" s="43"/>
    </row>
    <row r="13" spans="1:16" x14ac:dyDescent="0.25">
      <c r="A13" s="118" t="str">
        <f>'BL-1'!A13</f>
        <v>CO 2</v>
      </c>
      <c r="B13" s="116" t="str">
        <f>'BL-1'!B13</f>
        <v>Understand the legal, ethical and professional issues in information security</v>
      </c>
      <c r="C13" s="1"/>
      <c r="D13" s="1"/>
      <c r="E13" s="1"/>
      <c r="F13" s="1"/>
      <c r="G13" s="1"/>
      <c r="H13" s="1"/>
      <c r="I13" s="46"/>
    </row>
    <row r="14" spans="1:16" x14ac:dyDescent="0.25">
      <c r="A14" s="118" t="str">
        <f>'BL-1'!A14</f>
        <v>CO 3</v>
      </c>
      <c r="B14" s="116" t="str">
        <f>'BL-1'!B14</f>
        <v>Understand the various authentication schemes to simulate different applications</v>
      </c>
      <c r="C14" s="1"/>
      <c r="D14" s="1"/>
      <c r="I14" s="42"/>
      <c r="J14" s="43"/>
      <c r="K14" s="43"/>
      <c r="L14" s="43"/>
    </row>
    <row r="15" spans="1:16" x14ac:dyDescent="0.25">
      <c r="A15" s="118" t="str">
        <f>'BL-1'!A15</f>
        <v>CO 4</v>
      </c>
      <c r="B15" s="116" t="str">
        <f>'BL-1'!B15</f>
        <v>Understand various security practices and system security standards</v>
      </c>
      <c r="C15" s="1"/>
      <c r="D15" s="1"/>
      <c r="E15" s="1"/>
      <c r="F15" s="1"/>
      <c r="G15" s="1"/>
      <c r="H15" s="1"/>
      <c r="I15" s="42"/>
      <c r="J15" s="43"/>
      <c r="K15" s="43"/>
      <c r="L15" s="43"/>
    </row>
    <row r="16" spans="1:16" x14ac:dyDescent="0.25">
      <c r="A16" s="118" t="str">
        <f>'BL-1'!A16</f>
        <v>CO 5</v>
      </c>
      <c r="B16" s="116" t="str">
        <f>'BL-1'!B16</f>
        <v>Understand the web security protocols for E-commerce applications</v>
      </c>
      <c r="C16" s="1"/>
      <c r="D16" s="1"/>
      <c r="H16" s="1"/>
      <c r="I16" s="42"/>
      <c r="J16" s="43"/>
      <c r="K16" s="43"/>
      <c r="L16" s="43"/>
    </row>
    <row r="17" spans="1:17" ht="15.75" x14ac:dyDescent="0.25">
      <c r="A17" s="45"/>
      <c r="B17" s="13"/>
      <c r="C17" s="45"/>
      <c r="D17" s="45"/>
      <c r="E17" s="45"/>
      <c r="F17" s="45"/>
      <c r="G17" s="45"/>
      <c r="H17" s="45"/>
      <c r="I17" s="42"/>
      <c r="J17" s="43"/>
      <c r="K17" s="43"/>
      <c r="L17" s="43"/>
    </row>
    <row r="18" spans="1:17" x14ac:dyDescent="0.25">
      <c r="A18" s="344"/>
      <c r="B18" s="314" t="s">
        <v>141</v>
      </c>
      <c r="C18" s="328" t="s">
        <v>72</v>
      </c>
      <c r="D18" s="329"/>
      <c r="E18" s="329"/>
      <c r="F18" s="329"/>
      <c r="G18" s="330"/>
      <c r="H18" s="328" t="s">
        <v>106</v>
      </c>
      <c r="I18" s="329"/>
      <c r="J18" s="329"/>
      <c r="K18" s="329"/>
      <c r="L18" s="329"/>
      <c r="M18" s="333" t="s">
        <v>143</v>
      </c>
      <c r="N18" s="335" t="s">
        <v>73</v>
      </c>
    </row>
    <row r="19" spans="1:17" ht="40.5" customHeight="1" x14ac:dyDescent="0.25">
      <c r="A19" s="345"/>
      <c r="B19" s="346"/>
      <c r="C19" s="284">
        <v>1</v>
      </c>
      <c r="D19" s="284">
        <v>2</v>
      </c>
      <c r="E19" s="284">
        <v>3</v>
      </c>
      <c r="F19" s="284">
        <v>4</v>
      </c>
      <c r="G19" s="284">
        <v>5</v>
      </c>
      <c r="H19" s="284">
        <v>6</v>
      </c>
      <c r="I19" s="284">
        <v>7</v>
      </c>
      <c r="J19" s="284">
        <v>8</v>
      </c>
      <c r="K19" s="284">
        <v>9</v>
      </c>
      <c r="L19" s="284">
        <v>10</v>
      </c>
      <c r="M19" s="334"/>
      <c r="N19" s="336"/>
    </row>
    <row r="20" spans="1:17" ht="19.5" x14ac:dyDescent="0.25">
      <c r="A20" s="337" t="s">
        <v>74</v>
      </c>
      <c r="B20" s="285" t="str">
        <f>A12</f>
        <v>CO 1</v>
      </c>
      <c r="C20" s="239"/>
      <c r="D20" s="239"/>
      <c r="E20" s="239"/>
      <c r="F20" s="239"/>
      <c r="G20" s="239"/>
      <c r="H20" s="239"/>
      <c r="I20" s="239"/>
      <c r="J20" s="239"/>
      <c r="K20" s="239"/>
      <c r="L20" s="239"/>
      <c r="M20" s="286">
        <f>COUNTIF(C20:G20,"*")*2+COUNTIF(H20:K20,"*")*7+COUNTIF(L20,)*12</f>
        <v>0</v>
      </c>
      <c r="N20" s="287">
        <f t="shared" ref="N20:N30" si="0">ROUND(M20/50*100,1)</f>
        <v>0</v>
      </c>
      <c r="Q20" s="239"/>
    </row>
    <row r="21" spans="1:17" ht="19.5" x14ac:dyDescent="0.25">
      <c r="A21" s="338"/>
      <c r="B21" s="285" t="str">
        <f>A13</f>
        <v>CO 2</v>
      </c>
      <c r="C21" s="239"/>
      <c r="D21" s="239"/>
      <c r="E21" s="239"/>
      <c r="F21" s="239"/>
      <c r="G21" s="239"/>
      <c r="H21" s="239"/>
      <c r="I21" s="239"/>
      <c r="J21" s="239"/>
      <c r="K21" s="239"/>
      <c r="L21" s="239"/>
      <c r="M21" s="286">
        <f t="shared" ref="M21" si="1">COUNTIF(C21:G21,"*")*2+COUNTIF(H21:K21,"*")*7+COUNTIF(L21,)*12</f>
        <v>0</v>
      </c>
      <c r="N21" s="287">
        <f t="shared" si="0"/>
        <v>0</v>
      </c>
    </row>
    <row r="22" spans="1:17" ht="19.5" x14ac:dyDescent="0.25">
      <c r="A22" s="338"/>
      <c r="B22" s="285" t="str">
        <f>A14</f>
        <v>CO 3</v>
      </c>
      <c r="C22" s="239" t="s">
        <v>223</v>
      </c>
      <c r="D22" s="239"/>
      <c r="E22" s="239"/>
      <c r="F22" s="239"/>
      <c r="G22" s="239"/>
      <c r="H22" s="239" t="s">
        <v>223</v>
      </c>
      <c r="I22" s="239"/>
      <c r="J22" s="239"/>
      <c r="K22" s="239"/>
      <c r="L22" s="239"/>
      <c r="M22" s="286">
        <f>COUNTIF(C22:G22,"*")*2+COUNTIF(H22:K22,"*")*7+COUNTIF(L22,"*")*12</f>
        <v>9</v>
      </c>
      <c r="N22" s="287">
        <f t="shared" si="0"/>
        <v>18</v>
      </c>
    </row>
    <row r="23" spans="1:17" ht="19.5" x14ac:dyDescent="0.25">
      <c r="A23" s="338"/>
      <c r="B23" s="285" t="str">
        <f>A15</f>
        <v>CO 4</v>
      </c>
      <c r="C23" s="239"/>
      <c r="D23" s="239" t="s">
        <v>223</v>
      </c>
      <c r="E23" s="239" t="s">
        <v>223</v>
      </c>
      <c r="F23" s="239"/>
      <c r="G23" s="239"/>
      <c r="H23" s="239"/>
      <c r="I23" s="239" t="s">
        <v>223</v>
      </c>
      <c r="J23" s="239" t="s">
        <v>223</v>
      </c>
      <c r="K23" s="239"/>
      <c r="L23" s="239"/>
      <c r="M23" s="286">
        <f t="shared" ref="M23:M30" si="2">COUNTIF(C23:G23,"*")*2+COUNTIF(H23:K23,"*")*7+COUNTIF(L23,"*")*12</f>
        <v>18</v>
      </c>
      <c r="N23" s="287">
        <f t="shared" si="0"/>
        <v>36</v>
      </c>
    </row>
    <row r="24" spans="1:17" ht="19.5" x14ac:dyDescent="0.25">
      <c r="A24" s="339"/>
      <c r="B24" s="285" t="str">
        <f>A16</f>
        <v>CO 5</v>
      </c>
      <c r="C24" s="239"/>
      <c r="D24" s="239"/>
      <c r="E24" s="239"/>
      <c r="F24" s="239" t="s">
        <v>223</v>
      </c>
      <c r="G24" s="239" t="s">
        <v>223</v>
      </c>
      <c r="H24" s="239"/>
      <c r="I24" s="239"/>
      <c r="J24" s="239"/>
      <c r="K24" s="239" t="s">
        <v>223</v>
      </c>
      <c r="L24" s="239" t="s">
        <v>223</v>
      </c>
      <c r="M24" s="286">
        <f t="shared" si="2"/>
        <v>23</v>
      </c>
      <c r="N24" s="287">
        <f t="shared" si="0"/>
        <v>46</v>
      </c>
    </row>
    <row r="25" spans="1:17" ht="19.5" x14ac:dyDescent="0.25">
      <c r="A25" s="340" t="s">
        <v>75</v>
      </c>
      <c r="B25" s="288" t="s">
        <v>76</v>
      </c>
      <c r="C25" s="239"/>
      <c r="D25" s="239"/>
      <c r="E25" s="239" t="s">
        <v>223</v>
      </c>
      <c r="F25" s="239"/>
      <c r="G25" s="239"/>
      <c r="H25" s="239"/>
      <c r="I25" s="239"/>
      <c r="J25" s="239"/>
      <c r="K25" s="239"/>
      <c r="L25" s="239"/>
      <c r="M25" s="286">
        <f t="shared" si="2"/>
        <v>2</v>
      </c>
      <c r="N25" s="287">
        <f t="shared" si="0"/>
        <v>4</v>
      </c>
    </row>
    <row r="26" spans="1:17" ht="19.5" x14ac:dyDescent="0.25">
      <c r="A26" s="341"/>
      <c r="B26" s="288" t="s">
        <v>77</v>
      </c>
      <c r="C26" s="239" t="s">
        <v>223</v>
      </c>
      <c r="D26" s="239"/>
      <c r="E26" s="239"/>
      <c r="F26" s="239" t="s">
        <v>223</v>
      </c>
      <c r="G26" s="239" t="s">
        <v>223</v>
      </c>
      <c r="H26" s="239" t="s">
        <v>223</v>
      </c>
      <c r="I26" s="239" t="s">
        <v>223</v>
      </c>
      <c r="J26" s="239"/>
      <c r="K26" s="239" t="s">
        <v>223</v>
      </c>
      <c r="L26" s="239"/>
      <c r="M26" s="286">
        <f t="shared" si="2"/>
        <v>27</v>
      </c>
      <c r="N26" s="287">
        <f t="shared" si="0"/>
        <v>54</v>
      </c>
    </row>
    <row r="27" spans="1:17" ht="19.5" x14ac:dyDescent="0.25">
      <c r="A27" s="341"/>
      <c r="B27" s="288" t="s">
        <v>78</v>
      </c>
      <c r="C27" s="239"/>
      <c r="D27" s="239"/>
      <c r="E27" s="239"/>
      <c r="F27" s="239"/>
      <c r="G27" s="239"/>
      <c r="H27" s="239"/>
      <c r="I27" s="239"/>
      <c r="J27" s="239"/>
      <c r="K27" s="239"/>
      <c r="L27" s="239"/>
      <c r="M27" s="286">
        <f t="shared" si="2"/>
        <v>0</v>
      </c>
      <c r="N27" s="287">
        <f t="shared" si="0"/>
        <v>0</v>
      </c>
    </row>
    <row r="28" spans="1:17" ht="19.5" x14ac:dyDescent="0.25">
      <c r="A28" s="341"/>
      <c r="B28" s="288" t="s">
        <v>79</v>
      </c>
      <c r="C28" s="239"/>
      <c r="D28" s="239" t="s">
        <v>223</v>
      </c>
      <c r="E28" s="239"/>
      <c r="F28" s="239"/>
      <c r="G28" s="239"/>
      <c r="H28" s="239"/>
      <c r="I28" s="239"/>
      <c r="J28" s="239" t="s">
        <v>223</v>
      </c>
      <c r="K28" s="239"/>
      <c r="L28" s="239"/>
      <c r="M28" s="286">
        <f t="shared" si="2"/>
        <v>9</v>
      </c>
      <c r="N28" s="287">
        <f t="shared" si="0"/>
        <v>18</v>
      </c>
    </row>
    <row r="29" spans="1:17" ht="19.5" x14ac:dyDescent="0.25">
      <c r="A29" s="341"/>
      <c r="B29" s="288" t="s">
        <v>80</v>
      </c>
      <c r="C29" s="239"/>
      <c r="D29" s="239"/>
      <c r="E29" s="239"/>
      <c r="F29" s="239"/>
      <c r="G29" s="239"/>
      <c r="H29" s="239"/>
      <c r="I29" s="239"/>
      <c r="J29" s="239"/>
      <c r="K29" s="239"/>
      <c r="L29" s="239"/>
      <c r="M29" s="286">
        <f t="shared" si="2"/>
        <v>0</v>
      </c>
      <c r="N29" s="287">
        <f t="shared" si="0"/>
        <v>0</v>
      </c>
    </row>
    <row r="30" spans="1:17" ht="19.5" x14ac:dyDescent="0.25">
      <c r="A30" s="342"/>
      <c r="B30" s="288" t="s">
        <v>81</v>
      </c>
      <c r="C30" s="239"/>
      <c r="D30" s="239"/>
      <c r="E30" s="239"/>
      <c r="F30" s="239"/>
      <c r="G30" s="239"/>
      <c r="H30" s="239"/>
      <c r="I30" s="239"/>
      <c r="J30" s="239"/>
      <c r="K30" s="239"/>
      <c r="L30" s="239" t="s">
        <v>223</v>
      </c>
      <c r="M30" s="286">
        <f t="shared" si="2"/>
        <v>12</v>
      </c>
      <c r="N30" s="287">
        <f t="shared" si="0"/>
        <v>24</v>
      </c>
    </row>
    <row r="31" spans="1:17" x14ac:dyDescent="0.25">
      <c r="A31" s="304" t="s">
        <v>82</v>
      </c>
      <c r="B31" s="305"/>
      <c r="C31" s="305"/>
      <c r="D31" s="305"/>
      <c r="E31" s="305"/>
      <c r="F31" s="305"/>
      <c r="G31" s="305"/>
      <c r="H31" s="305"/>
      <c r="I31" s="305"/>
      <c r="J31" s="305"/>
      <c r="K31" s="305"/>
      <c r="L31" s="306"/>
      <c r="M31" s="322">
        <v>45758</v>
      </c>
      <c r="N31" s="323"/>
    </row>
    <row r="32" spans="1:17" x14ac:dyDescent="0.25">
      <c r="A32" s="304" t="s">
        <v>83</v>
      </c>
      <c r="B32" s="305"/>
      <c r="C32" s="305"/>
      <c r="D32" s="305"/>
      <c r="E32" s="305"/>
      <c r="F32" s="305"/>
      <c r="G32" s="305"/>
      <c r="H32" s="305"/>
      <c r="I32" s="305"/>
      <c r="J32" s="305"/>
      <c r="K32" s="305"/>
      <c r="L32" s="306"/>
      <c r="M32" s="307"/>
      <c r="N32" s="308"/>
    </row>
    <row r="33" spans="1:16" x14ac:dyDescent="0.25">
      <c r="A33" s="304" t="s">
        <v>84</v>
      </c>
      <c r="B33" s="305"/>
      <c r="C33" s="305"/>
      <c r="D33" s="305"/>
      <c r="E33" s="305"/>
      <c r="F33" s="305"/>
      <c r="G33" s="305"/>
      <c r="H33" s="305"/>
      <c r="I33" s="305"/>
      <c r="J33" s="305"/>
      <c r="K33" s="305"/>
      <c r="L33" s="306"/>
      <c r="M33" s="307"/>
      <c r="N33" s="308"/>
    </row>
    <row r="34" spans="1:16" x14ac:dyDescent="0.25">
      <c r="A34" s="304" t="s">
        <v>85</v>
      </c>
      <c r="B34" s="305"/>
      <c r="C34" s="305"/>
      <c r="D34" s="305"/>
      <c r="E34" s="305"/>
      <c r="F34" s="305"/>
      <c r="G34" s="305"/>
      <c r="H34" s="305"/>
      <c r="I34" s="305"/>
      <c r="J34" s="305"/>
      <c r="K34" s="305"/>
      <c r="L34" s="306"/>
      <c r="M34" s="307"/>
      <c r="N34" s="308"/>
    </row>
    <row r="43" spans="1:16" ht="21" x14ac:dyDescent="0.35">
      <c r="B43" s="50" t="s">
        <v>88</v>
      </c>
      <c r="C43" s="309" t="s">
        <v>89</v>
      </c>
      <c r="D43" s="310"/>
      <c r="E43" s="310"/>
      <c r="F43" s="310"/>
      <c r="G43" s="310"/>
      <c r="H43" s="310"/>
      <c r="I43" s="310"/>
      <c r="J43" s="310"/>
      <c r="K43" s="310"/>
      <c r="L43" s="310"/>
      <c r="M43" s="310"/>
      <c r="N43" s="310"/>
      <c r="O43" s="310"/>
      <c r="P43" s="311"/>
    </row>
    <row r="44" spans="1:16" ht="18.75" x14ac:dyDescent="0.3">
      <c r="B44" s="51" t="s">
        <v>76</v>
      </c>
      <c r="C44" s="301" t="s">
        <v>90</v>
      </c>
      <c r="D44" s="302"/>
      <c r="E44" s="302"/>
      <c r="F44" s="302"/>
      <c r="G44" s="302"/>
      <c r="H44" s="302"/>
      <c r="I44" s="302"/>
      <c r="J44" s="302"/>
      <c r="K44" s="302"/>
      <c r="L44" s="302"/>
      <c r="M44" s="302"/>
      <c r="N44" s="302"/>
      <c r="O44" s="302"/>
      <c r="P44" s="303"/>
    </row>
    <row r="45" spans="1:16" ht="18.75" x14ac:dyDescent="0.3">
      <c r="B45" s="51" t="s">
        <v>77</v>
      </c>
      <c r="C45" s="301" t="s">
        <v>92</v>
      </c>
      <c r="D45" s="302"/>
      <c r="E45" s="302"/>
      <c r="F45" s="302"/>
      <c r="G45" s="302"/>
      <c r="H45" s="302"/>
      <c r="I45" s="302"/>
      <c r="J45" s="302"/>
      <c r="K45" s="302"/>
      <c r="L45" s="302"/>
      <c r="M45" s="302"/>
      <c r="N45" s="302"/>
      <c r="O45" s="302"/>
      <c r="P45" s="303"/>
    </row>
    <row r="46" spans="1:16" ht="18.75" x14ac:dyDescent="0.3">
      <c r="B46" s="51" t="s">
        <v>78</v>
      </c>
      <c r="C46" s="301" t="s">
        <v>91</v>
      </c>
      <c r="D46" s="302"/>
      <c r="E46" s="302"/>
      <c r="F46" s="302"/>
      <c r="G46" s="302"/>
      <c r="H46" s="302"/>
      <c r="I46" s="302"/>
      <c r="J46" s="302"/>
      <c r="K46" s="302"/>
      <c r="L46" s="302"/>
      <c r="M46" s="302"/>
      <c r="N46" s="302"/>
      <c r="O46" s="302"/>
      <c r="P46" s="303"/>
    </row>
    <row r="47" spans="1:16" ht="18.75" x14ac:dyDescent="0.3">
      <c r="B47" s="51" t="s">
        <v>79</v>
      </c>
      <c r="C47" s="301" t="s">
        <v>93</v>
      </c>
      <c r="D47" s="302"/>
      <c r="E47" s="302"/>
      <c r="F47" s="302"/>
      <c r="G47" s="302"/>
      <c r="H47" s="302"/>
      <c r="I47" s="302"/>
      <c r="J47" s="302"/>
      <c r="K47" s="302"/>
      <c r="L47" s="302"/>
      <c r="M47" s="302"/>
      <c r="N47" s="302"/>
      <c r="O47" s="302"/>
      <c r="P47" s="303"/>
    </row>
    <row r="48" spans="1:16" ht="18.75" x14ac:dyDescent="0.3">
      <c r="B48" s="51" t="s">
        <v>80</v>
      </c>
      <c r="C48" s="301" t="s">
        <v>94</v>
      </c>
      <c r="D48" s="302"/>
      <c r="E48" s="302"/>
      <c r="F48" s="302"/>
      <c r="G48" s="302"/>
      <c r="H48" s="302"/>
      <c r="I48" s="302"/>
      <c r="J48" s="302"/>
      <c r="K48" s="302"/>
      <c r="L48" s="302"/>
      <c r="M48" s="302"/>
      <c r="N48" s="302"/>
      <c r="O48" s="302"/>
      <c r="P48" s="303"/>
    </row>
    <row r="49" spans="2:16" ht="18.75" x14ac:dyDescent="0.3">
      <c r="B49" s="51" t="s">
        <v>81</v>
      </c>
      <c r="C49" s="301" t="s">
        <v>95</v>
      </c>
      <c r="D49" s="302"/>
      <c r="E49" s="302"/>
      <c r="F49" s="302"/>
      <c r="G49" s="302"/>
      <c r="H49" s="302"/>
      <c r="I49" s="302"/>
      <c r="J49" s="302"/>
      <c r="K49" s="302"/>
      <c r="L49" s="302"/>
      <c r="M49" s="302"/>
      <c r="N49" s="302"/>
      <c r="O49" s="302"/>
      <c r="P49" s="303"/>
    </row>
  </sheetData>
  <mergeCells count="31">
    <mergeCell ref="C48:P48"/>
    <mergeCell ref="C49:P49"/>
    <mergeCell ref="C43:P43"/>
    <mergeCell ref="C44:P44"/>
    <mergeCell ref="C45:P45"/>
    <mergeCell ref="C46:P46"/>
    <mergeCell ref="C47:P47"/>
    <mergeCell ref="A6:L6"/>
    <mergeCell ref="A1:L1"/>
    <mergeCell ref="A2:L2"/>
    <mergeCell ref="A3:L3"/>
    <mergeCell ref="A4:L4"/>
    <mergeCell ref="A5:L5"/>
    <mergeCell ref="A8:H8"/>
    <mergeCell ref="A9:H9"/>
    <mergeCell ref="A18:A19"/>
    <mergeCell ref="B18:B19"/>
    <mergeCell ref="C18:G18"/>
    <mergeCell ref="H18:L18"/>
    <mergeCell ref="M18:M19"/>
    <mergeCell ref="N18:N19"/>
    <mergeCell ref="A20:A24"/>
    <mergeCell ref="A25:A30"/>
    <mergeCell ref="A31:L31"/>
    <mergeCell ref="M31:N31"/>
    <mergeCell ref="A32:L32"/>
    <mergeCell ref="M32:N32"/>
    <mergeCell ref="A33:L33"/>
    <mergeCell ref="M33:N33"/>
    <mergeCell ref="A34:L34"/>
    <mergeCell ref="M34:N34"/>
  </mergeCells>
  <pageMargins left="0.7" right="0.7" top="0.75" bottom="0.75" header="0.3" footer="0.3"/>
  <pageSetup orientation="portrait" verticalDpi="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8"/>
  <sheetViews>
    <sheetView workbookViewId="0">
      <selection sqref="A1:L1"/>
    </sheetView>
  </sheetViews>
  <sheetFormatPr defaultRowHeight="15" x14ac:dyDescent="0.25"/>
  <cols>
    <col min="1" max="1" width="10.28515625" customWidth="1"/>
    <col min="2" max="2" width="21.7109375" customWidth="1"/>
  </cols>
  <sheetData>
    <row r="1" spans="1:16" x14ac:dyDescent="0.25">
      <c r="A1" s="331" t="str">
        <f>'BL-1'!A1:L1</f>
        <v>JAYARAJ ANNAPACKIAM C. S. I. COLLEGE OF ENGINEERING</v>
      </c>
      <c r="B1" s="331"/>
      <c r="C1" s="331"/>
      <c r="D1" s="331"/>
      <c r="E1" s="331"/>
      <c r="F1" s="331"/>
      <c r="G1" s="331"/>
      <c r="H1" s="331"/>
      <c r="I1" s="331"/>
      <c r="J1" s="331"/>
      <c r="K1" s="331"/>
      <c r="L1" s="331"/>
      <c r="M1" s="42" t="s">
        <v>69</v>
      </c>
    </row>
    <row r="2" spans="1:16" x14ac:dyDescent="0.25">
      <c r="A2" s="331" t="str">
        <f>'BL-1'!A2:L2</f>
        <v>(Approved by AICTE, New Delhi and Affiliated to Anna University)</v>
      </c>
      <c r="B2" s="331"/>
      <c r="C2" s="331"/>
      <c r="D2" s="331"/>
      <c r="E2" s="331"/>
      <c r="F2" s="331"/>
      <c r="G2" s="331"/>
      <c r="H2" s="331"/>
      <c r="I2" s="331"/>
      <c r="J2" s="331"/>
      <c r="K2" s="331"/>
      <c r="L2" s="331"/>
    </row>
    <row r="3" spans="1:16" x14ac:dyDescent="0.25">
      <c r="A3" s="331" t="str">
        <f>'BL-1'!A3:L3</f>
        <v>MARGOSCHIS NAGAR, NAZARETH - 628 617</v>
      </c>
      <c r="B3" s="331"/>
      <c r="C3" s="331"/>
      <c r="D3" s="331"/>
      <c r="E3" s="331"/>
      <c r="F3" s="331"/>
      <c r="G3" s="331"/>
      <c r="H3" s="331"/>
      <c r="I3" s="331"/>
      <c r="J3" s="331"/>
      <c r="K3" s="331"/>
      <c r="L3" s="331"/>
    </row>
    <row r="4" spans="1:16" x14ac:dyDescent="0.25">
      <c r="A4" s="331" t="str">
        <f>'BL-1'!A4:L4</f>
        <v>DEPARTMENT OF ARTIFICIAL INTELLIGENCE AND DATA SCIENCE</v>
      </c>
      <c r="B4" s="331"/>
      <c r="C4" s="331"/>
      <c r="D4" s="331"/>
      <c r="E4" s="331"/>
      <c r="F4" s="331"/>
      <c r="G4" s="331"/>
      <c r="H4" s="331"/>
      <c r="I4" s="331"/>
      <c r="J4" s="331"/>
      <c r="K4" s="331"/>
      <c r="L4" s="331"/>
    </row>
    <row r="5" spans="1:16" x14ac:dyDescent="0.25">
      <c r="A5" s="331" t="str">
        <f>'BL-1'!A5:L5</f>
        <v>QUESTION PAPER CO / BT MAPPING</v>
      </c>
      <c r="B5" s="331"/>
      <c r="C5" s="331"/>
      <c r="D5" s="331"/>
      <c r="E5" s="331"/>
      <c r="F5" s="331"/>
      <c r="G5" s="331"/>
      <c r="H5" s="331"/>
      <c r="I5" s="331"/>
      <c r="J5" s="331"/>
      <c r="K5" s="331"/>
      <c r="L5" s="331"/>
    </row>
    <row r="6" spans="1:16" x14ac:dyDescent="0.25">
      <c r="A6" s="331" t="s">
        <v>140</v>
      </c>
      <c r="B6" s="331"/>
      <c r="C6" s="331"/>
      <c r="D6" s="331"/>
      <c r="E6" s="331"/>
      <c r="F6" s="331"/>
      <c r="G6" s="331"/>
      <c r="H6" s="331"/>
      <c r="I6" s="331"/>
      <c r="J6" s="331"/>
      <c r="K6" s="331"/>
      <c r="L6" s="331"/>
    </row>
    <row r="7" spans="1:16" x14ac:dyDescent="0.25">
      <c r="A7" s="1"/>
      <c r="B7" s="1"/>
      <c r="C7" s="1"/>
      <c r="D7" s="1"/>
      <c r="E7" s="1"/>
      <c r="F7" s="1"/>
      <c r="G7" s="1"/>
      <c r="H7" s="1"/>
      <c r="I7" s="1"/>
      <c r="J7" s="1"/>
      <c r="K7" s="1"/>
      <c r="L7" s="1"/>
    </row>
    <row r="8" spans="1:16" x14ac:dyDescent="0.25">
      <c r="A8" s="343" t="str">
        <f>'BL-1'!A8:H8</f>
        <v>COURSE CODE / NAME: CW3551 DATA AND INFORMATION SECURITY</v>
      </c>
      <c r="B8" s="343"/>
      <c r="C8" s="343"/>
      <c r="D8" s="343"/>
      <c r="E8" s="343"/>
      <c r="F8" s="343"/>
      <c r="G8" s="343"/>
      <c r="H8" s="343"/>
      <c r="I8" s="42" t="str">
        <f>'BL-1'!I8</f>
        <v>BATCH: 2023-2027</v>
      </c>
      <c r="J8" s="42"/>
      <c r="K8" s="42"/>
      <c r="L8" s="42"/>
      <c r="M8" s="42" t="str">
        <f>'BL-1'!M8</f>
        <v>SEM:05</v>
      </c>
    </row>
    <row r="9" spans="1:16" x14ac:dyDescent="0.25">
      <c r="A9" s="343" t="str">
        <f>'BL-1'!A9:H9</f>
        <v>COURSE INSTRUCTOR/DESIGNATION: G. ALISHA EVANGELINE,AP/ADS</v>
      </c>
      <c r="B9" s="343"/>
      <c r="C9" s="343"/>
      <c r="D9" s="343"/>
      <c r="E9" s="343"/>
      <c r="F9" s="343"/>
      <c r="G9" s="343"/>
      <c r="H9" s="343"/>
      <c r="I9" s="42" t="str">
        <f>'BL-1'!I9</f>
        <v>CLASS  : III ADS</v>
      </c>
      <c r="J9" s="43"/>
      <c r="K9" s="43"/>
      <c r="L9" s="43"/>
      <c r="M9" s="7" t="s">
        <v>40</v>
      </c>
      <c r="N9" s="125"/>
      <c r="O9" s="7" t="s">
        <v>142</v>
      </c>
      <c r="P9" t="str">
        <f>'BL-1'!P9</f>
        <v>11:30-1.00</v>
      </c>
    </row>
    <row r="10" spans="1:16" x14ac:dyDescent="0.25">
      <c r="A10" s="45"/>
      <c r="B10" s="45"/>
      <c r="C10" s="45"/>
      <c r="D10" s="45"/>
      <c r="E10" s="45"/>
      <c r="F10" s="45"/>
      <c r="G10" s="45"/>
      <c r="H10" s="45"/>
      <c r="I10" s="42"/>
      <c r="J10" s="43"/>
      <c r="K10" s="43"/>
      <c r="L10" s="43"/>
    </row>
    <row r="11" spans="1:16" x14ac:dyDescent="0.25">
      <c r="A11" s="44" t="s">
        <v>9</v>
      </c>
      <c r="B11" s="44"/>
      <c r="C11" s="45"/>
      <c r="D11" s="45"/>
      <c r="E11" s="45"/>
      <c r="F11" s="45"/>
      <c r="G11" s="45"/>
      <c r="H11" s="45"/>
      <c r="I11" s="42"/>
      <c r="J11" s="43"/>
      <c r="K11" s="43"/>
      <c r="L11" s="43"/>
    </row>
    <row r="12" spans="1:16" x14ac:dyDescent="0.25">
      <c r="A12" s="118" t="str">
        <f>'BL-1'!A12</f>
        <v>CO 1</v>
      </c>
      <c r="B12" s="116" t="str">
        <f>'BL-1'!B12</f>
        <v>Understand the basics of data and information security</v>
      </c>
      <c r="C12" s="1"/>
      <c r="D12" s="1"/>
      <c r="E12" s="1"/>
      <c r="F12" s="1"/>
      <c r="G12" s="1"/>
      <c r="H12" s="1"/>
      <c r="I12" s="42"/>
      <c r="J12" s="43"/>
      <c r="K12" s="43"/>
      <c r="L12" s="43"/>
    </row>
    <row r="13" spans="1:16" x14ac:dyDescent="0.25">
      <c r="A13" s="118" t="str">
        <f>'BL-1'!A13</f>
        <v>CO 2</v>
      </c>
      <c r="B13" s="116" t="str">
        <f>'BL-1'!B13</f>
        <v>Understand the legal, ethical and professional issues in information security</v>
      </c>
      <c r="C13" s="1"/>
      <c r="D13" s="1"/>
      <c r="E13" s="1"/>
      <c r="F13" s="1"/>
      <c r="G13" s="1"/>
      <c r="H13" s="1"/>
      <c r="I13" s="46"/>
    </row>
    <row r="14" spans="1:16" x14ac:dyDescent="0.25">
      <c r="A14" s="118" t="str">
        <f>'BL-1'!A14</f>
        <v>CO 3</v>
      </c>
      <c r="B14" s="116" t="str">
        <f>'BL-1'!B14</f>
        <v>Understand the various authentication schemes to simulate different applications</v>
      </c>
      <c r="C14" s="1"/>
      <c r="D14" s="1"/>
      <c r="I14" s="42"/>
      <c r="J14" s="43"/>
      <c r="K14" s="43"/>
      <c r="L14" s="43"/>
    </row>
    <row r="15" spans="1:16" x14ac:dyDescent="0.25">
      <c r="A15" s="118" t="str">
        <f>'BL-1'!A15</f>
        <v>CO 4</v>
      </c>
      <c r="B15" s="116" t="str">
        <f>'BL-1'!B15</f>
        <v>Understand various security practices and system security standards</v>
      </c>
      <c r="C15" s="1"/>
      <c r="D15" s="1"/>
      <c r="E15" s="1"/>
      <c r="F15" s="1"/>
      <c r="G15" s="1"/>
      <c r="H15" s="1"/>
      <c r="I15" s="42"/>
      <c r="J15" s="43"/>
      <c r="K15" s="43"/>
      <c r="L15" s="43"/>
    </row>
    <row r="16" spans="1:16" x14ac:dyDescent="0.25">
      <c r="A16" s="118" t="str">
        <f>'BL-1'!A16</f>
        <v>CO 5</v>
      </c>
      <c r="B16" s="116" t="str">
        <f>'BL-1'!B16</f>
        <v>Understand the web security protocols for E-commerce applications</v>
      </c>
      <c r="C16" s="1"/>
      <c r="D16" s="1"/>
      <c r="H16" s="1"/>
      <c r="I16" s="42"/>
      <c r="J16" s="43"/>
      <c r="K16" s="43"/>
      <c r="L16" s="43"/>
    </row>
    <row r="17" spans="1:14" ht="15.75" customHeight="1" x14ac:dyDescent="0.25">
      <c r="A17" s="45"/>
      <c r="B17" s="13"/>
      <c r="C17" s="45"/>
      <c r="D17" s="45"/>
      <c r="E17" s="45"/>
      <c r="F17" s="45"/>
      <c r="G17" s="45"/>
      <c r="H17" s="45"/>
      <c r="I17" s="42"/>
      <c r="J17" s="43"/>
      <c r="K17" s="43"/>
      <c r="L17" s="43"/>
    </row>
    <row r="18" spans="1:14" ht="19.5" customHeight="1" x14ac:dyDescent="0.25">
      <c r="A18" s="325"/>
      <c r="B18" s="351" t="s">
        <v>71</v>
      </c>
      <c r="C18" s="353" t="s">
        <v>72</v>
      </c>
      <c r="D18" s="354"/>
      <c r="E18" s="354"/>
      <c r="F18" s="354"/>
      <c r="G18" s="355"/>
      <c r="H18" s="356" t="s">
        <v>106</v>
      </c>
      <c r="I18" s="357"/>
      <c r="J18" s="357"/>
      <c r="K18" s="357"/>
      <c r="L18" s="357"/>
      <c r="M18" s="347" t="s">
        <v>143</v>
      </c>
      <c r="N18" s="349" t="s">
        <v>73</v>
      </c>
    </row>
    <row r="19" spans="1:14" ht="19.5" customHeight="1" x14ac:dyDescent="0.25">
      <c r="A19" s="326"/>
      <c r="B19" s="352"/>
      <c r="C19" s="86">
        <v>1</v>
      </c>
      <c r="D19" s="86">
        <v>2</v>
      </c>
      <c r="E19" s="86">
        <v>3</v>
      </c>
      <c r="F19" s="86">
        <v>4</v>
      </c>
      <c r="G19" s="86">
        <v>5</v>
      </c>
      <c r="H19" s="87">
        <v>6</v>
      </c>
      <c r="I19" s="87">
        <v>7</v>
      </c>
      <c r="J19" s="87">
        <v>8</v>
      </c>
      <c r="K19" s="87">
        <v>9</v>
      </c>
      <c r="L19" s="87">
        <v>10</v>
      </c>
      <c r="M19" s="348"/>
      <c r="N19" s="350"/>
    </row>
    <row r="20" spans="1:14" ht="19.5" x14ac:dyDescent="0.25">
      <c r="A20" s="316" t="s">
        <v>74</v>
      </c>
      <c r="B20" s="85" t="str">
        <f>A12</f>
        <v>CO 1</v>
      </c>
      <c r="C20" s="196"/>
      <c r="D20" s="196"/>
      <c r="E20" s="196"/>
      <c r="F20" s="196"/>
      <c r="G20" s="196"/>
      <c r="H20" s="196"/>
      <c r="I20" s="196"/>
      <c r="J20" s="196"/>
      <c r="K20" s="196"/>
      <c r="L20" s="196"/>
      <c r="M20" s="126">
        <f t="shared" ref="M20:M30" si="0">COUNTIF(C20:G20,"*")*2+COUNTIF(H20:L20,"*")*8</f>
        <v>0</v>
      </c>
      <c r="N20" s="127">
        <f t="shared" ref="N20:N30" si="1">ROUND(M20/50*100,1)</f>
        <v>0</v>
      </c>
    </row>
    <row r="21" spans="1:14" ht="19.5" x14ac:dyDescent="0.25">
      <c r="A21" s="317"/>
      <c r="B21" s="85" t="str">
        <f>A13</f>
        <v>CO 2</v>
      </c>
      <c r="C21" s="196"/>
      <c r="D21" s="196"/>
      <c r="E21" s="196"/>
      <c r="F21" s="196"/>
      <c r="G21" s="196"/>
      <c r="H21" s="196"/>
      <c r="I21" s="196"/>
      <c r="J21" s="196"/>
      <c r="K21" s="196"/>
      <c r="L21" s="196"/>
      <c r="M21" s="126">
        <f t="shared" si="0"/>
        <v>0</v>
      </c>
      <c r="N21" s="127">
        <f t="shared" si="1"/>
        <v>0</v>
      </c>
    </row>
    <row r="22" spans="1:14" ht="19.5" x14ac:dyDescent="0.25">
      <c r="A22" s="317"/>
      <c r="B22" s="85" t="str">
        <f>A14</f>
        <v>CO 3</v>
      </c>
      <c r="C22" s="196"/>
      <c r="D22" s="196"/>
      <c r="E22" s="196"/>
      <c r="F22" s="196"/>
      <c r="G22" s="196"/>
      <c r="H22" s="196"/>
      <c r="I22" s="196"/>
      <c r="J22" s="196"/>
      <c r="K22" s="196"/>
      <c r="L22" s="196"/>
      <c r="M22" s="126">
        <f t="shared" si="0"/>
        <v>0</v>
      </c>
      <c r="N22" s="127">
        <f t="shared" si="1"/>
        <v>0</v>
      </c>
    </row>
    <row r="23" spans="1:14" ht="19.5" x14ac:dyDescent="0.25">
      <c r="A23" s="317"/>
      <c r="B23" s="85" t="str">
        <f>A15</f>
        <v>CO 4</v>
      </c>
      <c r="C23" s="196"/>
      <c r="D23" s="196"/>
      <c r="E23" s="196"/>
      <c r="F23" s="196"/>
      <c r="G23" s="196"/>
      <c r="H23" s="196"/>
      <c r="I23" s="196"/>
      <c r="J23" s="196"/>
      <c r="K23" s="196"/>
      <c r="L23" s="196"/>
      <c r="M23" s="126">
        <f t="shared" si="0"/>
        <v>0</v>
      </c>
      <c r="N23" s="127">
        <f t="shared" si="1"/>
        <v>0</v>
      </c>
    </row>
    <row r="24" spans="1:14" ht="19.5" x14ac:dyDescent="0.25">
      <c r="A24" s="318"/>
      <c r="B24" s="85" t="str">
        <f>A16</f>
        <v>CO 5</v>
      </c>
      <c r="C24" s="196"/>
      <c r="D24" s="196"/>
      <c r="E24" s="196"/>
      <c r="F24" s="196"/>
      <c r="G24" s="196"/>
      <c r="H24" s="196"/>
      <c r="I24" s="196"/>
      <c r="J24" s="196"/>
      <c r="K24" s="196"/>
      <c r="L24" s="196"/>
      <c r="M24" s="126">
        <f t="shared" si="0"/>
        <v>0</v>
      </c>
      <c r="N24" s="127">
        <f t="shared" si="1"/>
        <v>0</v>
      </c>
    </row>
    <row r="25" spans="1:14" ht="19.5" x14ac:dyDescent="0.25">
      <c r="A25" s="319" t="s">
        <v>75</v>
      </c>
      <c r="B25" s="128" t="s">
        <v>76</v>
      </c>
      <c r="C25" s="195"/>
      <c r="D25" s="195"/>
      <c r="E25" s="195"/>
      <c r="F25" s="195"/>
      <c r="G25" s="195"/>
      <c r="H25" s="195"/>
      <c r="I25" s="195"/>
      <c r="J25" s="195"/>
      <c r="K25" s="195"/>
      <c r="L25" s="195"/>
      <c r="M25" s="129">
        <f t="shared" si="0"/>
        <v>0</v>
      </c>
      <c r="N25" s="130">
        <f t="shared" si="1"/>
        <v>0</v>
      </c>
    </row>
    <row r="26" spans="1:14" ht="19.5" x14ac:dyDescent="0.25">
      <c r="A26" s="320"/>
      <c r="B26" s="128" t="s">
        <v>77</v>
      </c>
      <c r="C26" s="195"/>
      <c r="D26" s="195"/>
      <c r="E26" s="195"/>
      <c r="F26" s="195"/>
      <c r="G26" s="195"/>
      <c r="H26" s="195"/>
      <c r="I26" s="195"/>
      <c r="J26" s="195"/>
      <c r="K26" s="195"/>
      <c r="L26" s="195"/>
      <c r="M26" s="129">
        <f t="shared" si="0"/>
        <v>0</v>
      </c>
      <c r="N26" s="130">
        <f t="shared" si="1"/>
        <v>0</v>
      </c>
    </row>
    <row r="27" spans="1:14" ht="19.5" x14ac:dyDescent="0.25">
      <c r="A27" s="320"/>
      <c r="B27" s="128" t="s">
        <v>78</v>
      </c>
      <c r="C27" s="195"/>
      <c r="D27" s="195"/>
      <c r="E27" s="195"/>
      <c r="F27" s="195"/>
      <c r="G27" s="195"/>
      <c r="H27" s="195"/>
      <c r="I27" s="195"/>
      <c r="J27" s="195"/>
      <c r="K27" s="195"/>
      <c r="L27" s="195"/>
      <c r="M27" s="129">
        <f t="shared" si="0"/>
        <v>0</v>
      </c>
      <c r="N27" s="130">
        <f t="shared" si="1"/>
        <v>0</v>
      </c>
    </row>
    <row r="28" spans="1:14" ht="19.5" x14ac:dyDescent="0.25">
      <c r="A28" s="320"/>
      <c r="B28" s="128" t="s">
        <v>79</v>
      </c>
      <c r="C28" s="195"/>
      <c r="D28" s="195"/>
      <c r="E28" s="195"/>
      <c r="F28" s="195"/>
      <c r="G28" s="195"/>
      <c r="H28" s="195"/>
      <c r="I28" s="195"/>
      <c r="J28" s="195"/>
      <c r="K28" s="195"/>
      <c r="L28" s="195"/>
      <c r="M28" s="129">
        <f t="shared" si="0"/>
        <v>0</v>
      </c>
      <c r="N28" s="130">
        <f t="shared" si="1"/>
        <v>0</v>
      </c>
    </row>
    <row r="29" spans="1:14" ht="19.5" x14ac:dyDescent="0.25">
      <c r="A29" s="320"/>
      <c r="B29" s="128" t="s">
        <v>80</v>
      </c>
      <c r="C29" s="195"/>
      <c r="D29" s="195"/>
      <c r="E29" s="195"/>
      <c r="F29" s="195"/>
      <c r="G29" s="195"/>
      <c r="H29" s="195"/>
      <c r="I29" s="195"/>
      <c r="J29" s="195"/>
      <c r="K29" s="195"/>
      <c r="L29" s="195"/>
      <c r="M29" s="129">
        <f t="shared" si="0"/>
        <v>0</v>
      </c>
      <c r="N29" s="130">
        <f t="shared" si="1"/>
        <v>0</v>
      </c>
    </row>
    <row r="30" spans="1:14" ht="19.5" x14ac:dyDescent="0.25">
      <c r="A30" s="321"/>
      <c r="B30" s="128" t="s">
        <v>81</v>
      </c>
      <c r="C30" s="195"/>
      <c r="D30" s="195"/>
      <c r="E30" s="195"/>
      <c r="F30" s="195"/>
      <c r="G30" s="195"/>
      <c r="H30" s="195"/>
      <c r="I30" s="195"/>
      <c r="J30" s="195"/>
      <c r="K30" s="195"/>
      <c r="L30" s="195"/>
      <c r="M30" s="129">
        <f t="shared" si="0"/>
        <v>0</v>
      </c>
      <c r="N30" s="130">
        <f t="shared" si="1"/>
        <v>0</v>
      </c>
    </row>
    <row r="31" spans="1:14" x14ac:dyDescent="0.25">
      <c r="A31" s="304" t="s">
        <v>82</v>
      </c>
      <c r="B31" s="305"/>
      <c r="C31" s="305"/>
      <c r="D31" s="305"/>
      <c r="E31" s="305"/>
      <c r="F31" s="305"/>
      <c r="G31" s="305"/>
      <c r="H31" s="305"/>
      <c r="I31" s="305"/>
      <c r="J31" s="305"/>
      <c r="K31" s="305"/>
      <c r="L31" s="306"/>
      <c r="M31" s="322">
        <v>45246</v>
      </c>
      <c r="N31" s="323"/>
    </row>
    <row r="32" spans="1:14" x14ac:dyDescent="0.25">
      <c r="A32" s="304" t="s">
        <v>83</v>
      </c>
      <c r="B32" s="305"/>
      <c r="C32" s="305"/>
      <c r="D32" s="305"/>
      <c r="E32" s="305"/>
      <c r="F32" s="305"/>
      <c r="G32" s="305"/>
      <c r="H32" s="305"/>
      <c r="I32" s="305"/>
      <c r="J32" s="305"/>
      <c r="K32" s="305"/>
      <c r="L32" s="306"/>
      <c r="M32" s="307"/>
      <c r="N32" s="308"/>
    </row>
    <row r="33" spans="1:14" x14ac:dyDescent="0.25">
      <c r="A33" s="304" t="s">
        <v>84</v>
      </c>
      <c r="B33" s="305"/>
      <c r="C33" s="305"/>
      <c r="D33" s="305"/>
      <c r="E33" s="305"/>
      <c r="F33" s="305"/>
      <c r="G33" s="305"/>
      <c r="H33" s="305"/>
      <c r="I33" s="305"/>
      <c r="J33" s="305"/>
      <c r="K33" s="305"/>
      <c r="L33" s="306"/>
      <c r="M33" s="307"/>
      <c r="N33" s="308"/>
    </row>
    <row r="34" spans="1:14" x14ac:dyDescent="0.25">
      <c r="A34" s="304" t="s">
        <v>85</v>
      </c>
      <c r="B34" s="305"/>
      <c r="C34" s="305"/>
      <c r="D34" s="305"/>
      <c r="E34" s="305"/>
      <c r="F34" s="305"/>
      <c r="G34" s="305"/>
      <c r="H34" s="305"/>
      <c r="I34" s="305"/>
      <c r="J34" s="305"/>
      <c r="K34" s="305"/>
      <c r="L34" s="306"/>
      <c r="M34" s="307"/>
      <c r="N34" s="308"/>
    </row>
    <row r="62" spans="2:16" ht="21" x14ac:dyDescent="0.35">
      <c r="B62" s="50" t="s">
        <v>88</v>
      </c>
      <c r="C62" s="309" t="s">
        <v>89</v>
      </c>
      <c r="D62" s="310"/>
      <c r="E62" s="310"/>
      <c r="F62" s="310"/>
      <c r="G62" s="310"/>
      <c r="H62" s="310"/>
      <c r="I62" s="310"/>
      <c r="J62" s="310"/>
      <c r="K62" s="310"/>
      <c r="L62" s="310"/>
      <c r="M62" s="310"/>
      <c r="N62" s="310"/>
      <c r="O62" s="310"/>
      <c r="P62" s="311"/>
    </row>
    <row r="63" spans="2:16" ht="18.75" x14ac:dyDescent="0.3">
      <c r="B63" s="51" t="s">
        <v>76</v>
      </c>
      <c r="C63" s="301" t="s">
        <v>90</v>
      </c>
      <c r="D63" s="302"/>
      <c r="E63" s="302"/>
      <c r="F63" s="302"/>
      <c r="G63" s="302"/>
      <c r="H63" s="302"/>
      <c r="I63" s="302"/>
      <c r="J63" s="302"/>
      <c r="K63" s="302"/>
      <c r="L63" s="302"/>
      <c r="M63" s="302"/>
      <c r="N63" s="302"/>
      <c r="O63" s="302"/>
      <c r="P63" s="303"/>
    </row>
    <row r="64" spans="2:16" ht="18.75" x14ac:dyDescent="0.3">
      <c r="B64" s="51" t="s">
        <v>77</v>
      </c>
      <c r="C64" s="301" t="s">
        <v>92</v>
      </c>
      <c r="D64" s="302"/>
      <c r="E64" s="302"/>
      <c r="F64" s="302"/>
      <c r="G64" s="302"/>
      <c r="H64" s="302"/>
      <c r="I64" s="302"/>
      <c r="J64" s="302"/>
      <c r="K64" s="302"/>
      <c r="L64" s="302"/>
      <c r="M64" s="302"/>
      <c r="N64" s="302"/>
      <c r="O64" s="302"/>
      <c r="P64" s="303"/>
    </row>
    <row r="65" spans="2:16" ht="18.75" x14ac:dyDescent="0.3">
      <c r="B65" s="51" t="s">
        <v>78</v>
      </c>
      <c r="C65" s="301" t="s">
        <v>91</v>
      </c>
      <c r="D65" s="302"/>
      <c r="E65" s="302"/>
      <c r="F65" s="302"/>
      <c r="G65" s="302"/>
      <c r="H65" s="302"/>
      <c r="I65" s="302"/>
      <c r="J65" s="302"/>
      <c r="K65" s="302"/>
      <c r="L65" s="302"/>
      <c r="M65" s="302"/>
      <c r="N65" s="302"/>
      <c r="O65" s="302"/>
      <c r="P65" s="303"/>
    </row>
    <row r="66" spans="2:16" ht="18.75" x14ac:dyDescent="0.3">
      <c r="B66" s="51" t="s">
        <v>79</v>
      </c>
      <c r="C66" s="301" t="s">
        <v>93</v>
      </c>
      <c r="D66" s="302"/>
      <c r="E66" s="302"/>
      <c r="F66" s="302"/>
      <c r="G66" s="302"/>
      <c r="H66" s="302"/>
      <c r="I66" s="302"/>
      <c r="J66" s="302"/>
      <c r="K66" s="302"/>
      <c r="L66" s="302"/>
      <c r="M66" s="302"/>
      <c r="N66" s="302"/>
      <c r="O66" s="302"/>
      <c r="P66" s="303"/>
    </row>
    <row r="67" spans="2:16" ht="18.75" x14ac:dyDescent="0.3">
      <c r="B67" s="51" t="s">
        <v>80</v>
      </c>
      <c r="C67" s="301" t="s">
        <v>94</v>
      </c>
      <c r="D67" s="302"/>
      <c r="E67" s="302"/>
      <c r="F67" s="302"/>
      <c r="G67" s="302"/>
      <c r="H67" s="302"/>
      <c r="I67" s="302"/>
      <c r="J67" s="302"/>
      <c r="K67" s="302"/>
      <c r="L67" s="302"/>
      <c r="M67" s="302"/>
      <c r="N67" s="302"/>
      <c r="O67" s="302"/>
      <c r="P67" s="303"/>
    </row>
    <row r="68" spans="2:16" ht="18.75" x14ac:dyDescent="0.3">
      <c r="B68" s="51" t="s">
        <v>81</v>
      </c>
      <c r="C68" s="301" t="s">
        <v>95</v>
      </c>
      <c r="D68" s="302"/>
      <c r="E68" s="302"/>
      <c r="F68" s="302"/>
      <c r="G68" s="302"/>
      <c r="H68" s="302"/>
      <c r="I68" s="302"/>
      <c r="J68" s="302"/>
      <c r="K68" s="302"/>
      <c r="L68" s="302"/>
      <c r="M68" s="302"/>
      <c r="N68" s="302"/>
      <c r="O68" s="302"/>
      <c r="P68" s="303"/>
    </row>
  </sheetData>
  <mergeCells count="31">
    <mergeCell ref="C67:P67"/>
    <mergeCell ref="C68:P68"/>
    <mergeCell ref="C62:P62"/>
    <mergeCell ref="C63:P63"/>
    <mergeCell ref="C64:P64"/>
    <mergeCell ref="C65:P65"/>
    <mergeCell ref="C66:P66"/>
    <mergeCell ref="A6:L6"/>
    <mergeCell ref="A1:L1"/>
    <mergeCell ref="A2:L2"/>
    <mergeCell ref="A3:L3"/>
    <mergeCell ref="A4:L4"/>
    <mergeCell ref="A5:L5"/>
    <mergeCell ref="A8:H8"/>
    <mergeCell ref="A9:H9"/>
    <mergeCell ref="A18:A19"/>
    <mergeCell ref="B18:B19"/>
    <mergeCell ref="C18:G18"/>
    <mergeCell ref="H18:L18"/>
    <mergeCell ref="M18:M19"/>
    <mergeCell ref="N18:N19"/>
    <mergeCell ref="A20:A24"/>
    <mergeCell ref="A25:A30"/>
    <mergeCell ref="A31:L31"/>
    <mergeCell ref="M31:N31"/>
    <mergeCell ref="A32:L32"/>
    <mergeCell ref="M32:N32"/>
    <mergeCell ref="A33:L33"/>
    <mergeCell ref="M33:N33"/>
    <mergeCell ref="A34:L34"/>
    <mergeCell ref="M34:N34"/>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77"/>
  <sheetViews>
    <sheetView workbookViewId="0">
      <selection activeCell="C76" sqref="C76"/>
    </sheetView>
  </sheetViews>
  <sheetFormatPr defaultColWidth="9.140625" defaultRowHeight="15" x14ac:dyDescent="0.25"/>
  <cols>
    <col min="1" max="1" width="6.5703125" style="172" customWidth="1"/>
    <col min="2" max="2" width="18.140625" style="172" customWidth="1"/>
    <col min="3" max="3" width="28" style="172" customWidth="1"/>
    <col min="4" max="18" width="4.7109375" style="172" customWidth="1"/>
    <col min="19" max="20" width="6.5703125" style="172" customWidth="1"/>
    <col min="21" max="1025" width="8.5703125" style="172" customWidth="1"/>
    <col min="1026" max="16384" width="9.140625" style="172"/>
  </cols>
  <sheetData>
    <row r="1" spans="1:20" x14ac:dyDescent="0.25">
      <c r="S1" s="173"/>
      <c r="T1" s="173"/>
    </row>
    <row r="2" spans="1:20" x14ac:dyDescent="0.25">
      <c r="A2" s="367" t="str">
        <f>'BL-1'!A1:L1</f>
        <v>JAYARAJ ANNAPACKIAM C. S. I. COLLEGE OF ENGINEERING</v>
      </c>
      <c r="B2" s="367"/>
      <c r="C2" s="367"/>
      <c r="D2" s="367"/>
      <c r="E2" s="367"/>
      <c r="F2" s="367"/>
      <c r="G2" s="367"/>
      <c r="H2" s="367"/>
      <c r="I2" s="367"/>
      <c r="J2" s="367"/>
      <c r="K2" s="367"/>
      <c r="L2" s="367"/>
      <c r="M2" s="367"/>
      <c r="N2" s="367"/>
      <c r="O2" s="367"/>
      <c r="P2" s="367"/>
      <c r="Q2" s="367"/>
      <c r="R2" s="367"/>
      <c r="S2" s="367"/>
      <c r="T2" s="367"/>
    </row>
    <row r="3" spans="1:20" x14ac:dyDescent="0.25">
      <c r="A3" s="367" t="str">
        <f>'BL-1'!A2:L2</f>
        <v>(Approved by AICTE, New Delhi and Affiliated to Anna University)</v>
      </c>
      <c r="B3" s="367"/>
      <c r="C3" s="367"/>
      <c r="D3" s="367"/>
      <c r="E3" s="367"/>
      <c r="F3" s="367"/>
      <c r="G3" s="367"/>
      <c r="H3" s="367"/>
      <c r="I3" s="367"/>
      <c r="J3" s="367"/>
      <c r="K3" s="367"/>
      <c r="L3" s="367"/>
      <c r="M3" s="367"/>
      <c r="N3" s="367"/>
      <c r="O3" s="367"/>
      <c r="P3" s="367"/>
      <c r="Q3" s="367"/>
      <c r="R3" s="367"/>
      <c r="S3" s="367"/>
      <c r="T3" s="367"/>
    </row>
    <row r="4" spans="1:20" x14ac:dyDescent="0.25">
      <c r="A4" s="367" t="str">
        <f>'BL-1'!A3:L3</f>
        <v>MARGOSCHIS NAGAR, NAZARETH - 628 617</v>
      </c>
      <c r="B4" s="367"/>
      <c r="C4" s="367"/>
      <c r="D4" s="367"/>
      <c r="E4" s="367"/>
      <c r="F4" s="367"/>
      <c r="G4" s="367"/>
      <c r="H4" s="367"/>
      <c r="I4" s="367"/>
      <c r="J4" s="367"/>
      <c r="K4" s="367"/>
      <c r="L4" s="367"/>
      <c r="M4" s="367"/>
      <c r="N4" s="367"/>
      <c r="O4" s="367"/>
      <c r="P4" s="367"/>
      <c r="Q4" s="367"/>
      <c r="R4" s="367"/>
      <c r="S4" s="367"/>
      <c r="T4" s="367"/>
    </row>
    <row r="6" spans="1:20" x14ac:dyDescent="0.25">
      <c r="A6" s="367" t="str">
        <f>'BL-1'!A4:L4</f>
        <v>DEPARTMENT OF ARTIFICIAL INTELLIGENCE AND DATA SCIENCE</v>
      </c>
      <c r="B6" s="367"/>
      <c r="C6" s="367"/>
      <c r="D6" s="367"/>
      <c r="E6" s="367"/>
      <c r="F6" s="367"/>
      <c r="G6" s="367"/>
      <c r="H6" s="367"/>
      <c r="I6" s="367"/>
      <c r="J6" s="367"/>
      <c r="K6" s="367"/>
      <c r="L6" s="367"/>
      <c r="M6" s="367"/>
      <c r="N6" s="367"/>
      <c r="O6" s="367"/>
      <c r="P6" s="367"/>
      <c r="Q6" s="367"/>
      <c r="R6" s="367"/>
      <c r="S6" s="367"/>
      <c r="T6" s="367"/>
    </row>
    <row r="7" spans="1:20" x14ac:dyDescent="0.25">
      <c r="A7" s="367" t="s">
        <v>195</v>
      </c>
      <c r="B7" s="367"/>
      <c r="C7" s="367"/>
      <c r="D7" s="367"/>
      <c r="E7" s="367"/>
      <c r="F7" s="367"/>
      <c r="G7" s="367"/>
      <c r="H7" s="367"/>
      <c r="I7" s="367"/>
      <c r="J7" s="367"/>
      <c r="K7" s="367"/>
      <c r="L7" s="367"/>
      <c r="M7" s="367"/>
      <c r="N7" s="367"/>
      <c r="O7" s="367"/>
      <c r="P7" s="367"/>
      <c r="Q7" s="367"/>
      <c r="R7" s="367"/>
      <c r="S7" s="367"/>
      <c r="T7" s="367"/>
    </row>
    <row r="8" spans="1:20" x14ac:dyDescent="0.25">
      <c r="A8" s="367" t="s">
        <v>327</v>
      </c>
      <c r="B8" s="367"/>
      <c r="C8" s="367"/>
      <c r="D8" s="367"/>
      <c r="E8" s="367"/>
      <c r="F8" s="367"/>
      <c r="G8" s="367"/>
      <c r="H8" s="367"/>
      <c r="I8" s="367"/>
      <c r="J8" s="367"/>
      <c r="K8" s="367"/>
      <c r="L8" s="367"/>
      <c r="M8" s="367"/>
      <c r="N8" s="367"/>
      <c r="O8" s="367"/>
      <c r="P8" s="367"/>
      <c r="Q8" s="367"/>
      <c r="R8" s="367"/>
      <c r="S8" s="367"/>
      <c r="T8" s="367"/>
    </row>
    <row r="9" spans="1:20" x14ac:dyDescent="0.25">
      <c r="A9" s="174"/>
      <c r="B9" s="174"/>
      <c r="C9" s="174"/>
      <c r="D9" s="174"/>
      <c r="E9" s="174"/>
      <c r="F9" s="174"/>
      <c r="G9" s="174"/>
      <c r="H9" s="174"/>
      <c r="I9" s="174"/>
      <c r="J9" s="174"/>
      <c r="K9" s="174"/>
      <c r="L9" s="174"/>
      <c r="M9" s="174"/>
      <c r="N9" s="174"/>
      <c r="O9" s="174"/>
      <c r="P9" s="174"/>
      <c r="Q9" s="174"/>
      <c r="R9" s="174"/>
      <c r="S9" s="174"/>
      <c r="T9" s="174"/>
    </row>
    <row r="10" spans="1:20" x14ac:dyDescent="0.25">
      <c r="A10" s="361" t="str">
        <f>'BL-1'!A8:H8</f>
        <v>COURSE CODE / NAME: CW3551 DATA AND INFORMATION SECURITY</v>
      </c>
      <c r="B10" s="361"/>
      <c r="C10" s="361"/>
      <c r="D10" s="361"/>
      <c r="E10" s="361"/>
      <c r="F10" s="361"/>
      <c r="G10" s="361"/>
      <c r="H10" s="361"/>
      <c r="I10" s="361"/>
      <c r="J10" s="361"/>
      <c r="K10" s="175"/>
      <c r="L10" s="176" t="s">
        <v>196</v>
      </c>
      <c r="M10" s="176"/>
      <c r="N10" s="176" t="s">
        <v>240</v>
      </c>
      <c r="O10" s="176"/>
      <c r="R10" s="176"/>
      <c r="S10" s="176" t="s">
        <v>197</v>
      </c>
      <c r="T10" s="176">
        <v>5</v>
      </c>
    </row>
    <row r="11" spans="1:20" x14ac:dyDescent="0.25">
      <c r="A11" s="361" t="str">
        <f>'BL-1'!A9:H9</f>
        <v>COURSE INSTRUCTOR/DESIGNATION: G. ALISHA EVANGELINE,AP/ADS</v>
      </c>
      <c r="B11" s="361"/>
      <c r="C11" s="361"/>
      <c r="D11" s="361"/>
      <c r="E11" s="361"/>
      <c r="F11" s="361"/>
      <c r="G11" s="361"/>
      <c r="H11" s="361"/>
      <c r="I11" s="361"/>
      <c r="J11" s="361"/>
      <c r="K11" s="175"/>
      <c r="L11" s="176" t="s">
        <v>198</v>
      </c>
      <c r="M11" s="176"/>
      <c r="N11" s="176" t="s">
        <v>326</v>
      </c>
      <c r="O11" s="173"/>
      <c r="Q11" s="173"/>
      <c r="R11" s="173"/>
      <c r="S11" s="173"/>
    </row>
    <row r="12" spans="1:20" x14ac:dyDescent="0.25">
      <c r="L12" s="177"/>
      <c r="M12" s="177"/>
      <c r="N12" s="177"/>
      <c r="O12" s="177"/>
      <c r="P12" s="177"/>
      <c r="Q12" s="177"/>
      <c r="R12" s="177"/>
      <c r="S12" s="177"/>
      <c r="T12" s="178"/>
    </row>
    <row r="13" spans="1:20" ht="18" customHeight="1" x14ac:dyDescent="0.25">
      <c r="A13" s="362" t="s">
        <v>199</v>
      </c>
      <c r="B13" s="362" t="s">
        <v>200</v>
      </c>
      <c r="C13" s="362" t="s">
        <v>8</v>
      </c>
      <c r="D13" s="363" t="s">
        <v>201</v>
      </c>
      <c r="E13" s="363"/>
      <c r="F13" s="363"/>
      <c r="G13" s="363"/>
      <c r="H13" s="363"/>
      <c r="I13" s="363" t="s">
        <v>202</v>
      </c>
      <c r="J13" s="363"/>
      <c r="K13" s="363"/>
      <c r="L13" s="363"/>
      <c r="M13" s="363"/>
      <c r="N13" s="363"/>
      <c r="O13" s="363"/>
      <c r="P13" s="363"/>
      <c r="Q13" s="363"/>
      <c r="R13" s="363"/>
      <c r="S13" s="364" t="s">
        <v>203</v>
      </c>
      <c r="T13" s="364" t="s">
        <v>204</v>
      </c>
    </row>
    <row r="14" spans="1:20" ht="19.350000000000001" customHeight="1" x14ac:dyDescent="0.25">
      <c r="A14" s="362"/>
      <c r="B14" s="362"/>
      <c r="C14" s="362"/>
      <c r="D14" s="179">
        <v>1</v>
      </c>
      <c r="E14" s="179">
        <v>2</v>
      </c>
      <c r="F14" s="179">
        <v>3</v>
      </c>
      <c r="G14" s="179">
        <v>4</v>
      </c>
      <c r="H14" s="179">
        <v>5</v>
      </c>
      <c r="I14" s="179" t="s">
        <v>205</v>
      </c>
      <c r="J14" s="179" t="s">
        <v>206</v>
      </c>
      <c r="K14" s="179" t="s">
        <v>207</v>
      </c>
      <c r="L14" s="179" t="s">
        <v>208</v>
      </c>
      <c r="M14" s="179" t="s">
        <v>209</v>
      </c>
      <c r="N14" s="179" t="s">
        <v>210</v>
      </c>
      <c r="O14" s="179" t="s">
        <v>211</v>
      </c>
      <c r="P14" s="179" t="s">
        <v>212</v>
      </c>
      <c r="Q14" s="179" t="s">
        <v>213</v>
      </c>
      <c r="R14" s="179" t="s">
        <v>214</v>
      </c>
      <c r="S14" s="364"/>
      <c r="T14" s="364"/>
    </row>
    <row r="15" spans="1:20" ht="19.350000000000001" customHeight="1" x14ac:dyDescent="0.25">
      <c r="A15" s="180">
        <v>1</v>
      </c>
      <c r="B15" s="181">
        <v>951323243001</v>
      </c>
      <c r="C15" s="182" t="s">
        <v>241</v>
      </c>
      <c r="D15" s="183">
        <v>2</v>
      </c>
      <c r="E15" s="183">
        <v>2</v>
      </c>
      <c r="F15" s="183">
        <v>2</v>
      </c>
      <c r="G15" s="183">
        <v>2</v>
      </c>
      <c r="H15" s="183">
        <v>1</v>
      </c>
      <c r="I15" s="183">
        <v>7</v>
      </c>
      <c r="J15" s="183"/>
      <c r="K15" s="183"/>
      <c r="L15" s="183">
        <v>6</v>
      </c>
      <c r="M15" s="183">
        <v>5</v>
      </c>
      <c r="N15" s="183"/>
      <c r="O15" s="183"/>
      <c r="P15" s="183"/>
      <c r="Q15" s="183">
        <v>12</v>
      </c>
      <c r="R15" s="183"/>
      <c r="S15" s="183">
        <v>39</v>
      </c>
      <c r="T15" s="183">
        <v>78</v>
      </c>
    </row>
    <row r="16" spans="1:20" ht="19.350000000000001" customHeight="1" x14ac:dyDescent="0.25">
      <c r="A16" s="180">
        <v>2</v>
      </c>
      <c r="B16" s="181">
        <v>951323243002</v>
      </c>
      <c r="C16" s="182" t="s">
        <v>242</v>
      </c>
      <c r="D16" s="183">
        <v>2</v>
      </c>
      <c r="E16" s="183">
        <v>2</v>
      </c>
      <c r="F16" s="183">
        <v>2</v>
      </c>
      <c r="G16" s="183">
        <v>2</v>
      </c>
      <c r="H16" s="183">
        <v>1</v>
      </c>
      <c r="I16" s="183"/>
      <c r="J16" s="183"/>
      <c r="K16" s="183"/>
      <c r="L16" s="183">
        <v>5</v>
      </c>
      <c r="M16" s="183"/>
      <c r="N16" s="183"/>
      <c r="O16" s="183"/>
      <c r="P16" s="183">
        <v>7</v>
      </c>
      <c r="Q16" s="183">
        <v>12</v>
      </c>
      <c r="R16" s="183"/>
      <c r="S16" s="183">
        <v>33</v>
      </c>
      <c r="T16" s="183">
        <v>66</v>
      </c>
    </row>
    <row r="17" spans="1:20" ht="19.350000000000001" customHeight="1" x14ac:dyDescent="0.25">
      <c r="A17" s="180">
        <v>3</v>
      </c>
      <c r="B17" s="181">
        <v>951323243003</v>
      </c>
      <c r="C17" s="182" t="s">
        <v>243</v>
      </c>
      <c r="D17" s="183">
        <v>2</v>
      </c>
      <c r="E17" s="183">
        <v>2</v>
      </c>
      <c r="F17" s="183">
        <v>2</v>
      </c>
      <c r="G17" s="183">
        <v>2</v>
      </c>
      <c r="H17" s="183">
        <v>2</v>
      </c>
      <c r="I17" s="183"/>
      <c r="J17" s="183">
        <v>5</v>
      </c>
      <c r="K17" s="183"/>
      <c r="L17" s="183">
        <v>7</v>
      </c>
      <c r="M17" s="183"/>
      <c r="N17" s="183">
        <v>7</v>
      </c>
      <c r="O17" s="183"/>
      <c r="P17" s="183">
        <v>7</v>
      </c>
      <c r="Q17" s="183">
        <v>12</v>
      </c>
      <c r="R17" s="183"/>
      <c r="S17" s="183">
        <v>48</v>
      </c>
      <c r="T17" s="183">
        <v>96</v>
      </c>
    </row>
    <row r="18" spans="1:20" ht="19.350000000000001" customHeight="1" x14ac:dyDescent="0.25">
      <c r="A18" s="180">
        <v>4</v>
      </c>
      <c r="B18" s="181">
        <v>951323243004</v>
      </c>
      <c r="C18" s="182" t="s">
        <v>244</v>
      </c>
      <c r="D18" s="183"/>
      <c r="E18" s="183"/>
      <c r="F18" s="183"/>
      <c r="G18" s="183"/>
      <c r="H18" s="183"/>
      <c r="I18" s="183"/>
      <c r="J18" s="183"/>
      <c r="K18" s="183"/>
      <c r="L18" s="183"/>
      <c r="M18" s="183"/>
      <c r="N18" s="183"/>
      <c r="O18" s="183"/>
      <c r="P18" s="183"/>
      <c r="Q18" s="183"/>
      <c r="R18" s="183"/>
      <c r="S18" s="183"/>
      <c r="T18" s="183"/>
    </row>
    <row r="19" spans="1:20" ht="19.350000000000001" customHeight="1" x14ac:dyDescent="0.25">
      <c r="A19" s="180">
        <v>5</v>
      </c>
      <c r="B19" s="181">
        <v>951323243005</v>
      </c>
      <c r="C19" s="182" t="s">
        <v>245</v>
      </c>
      <c r="D19" s="183">
        <v>1</v>
      </c>
      <c r="E19" s="183"/>
      <c r="F19" s="183"/>
      <c r="G19" s="183"/>
      <c r="H19" s="183">
        <v>0</v>
      </c>
      <c r="I19" s="183"/>
      <c r="J19" s="183"/>
      <c r="K19" s="183"/>
      <c r="L19" s="183"/>
      <c r="M19" s="183"/>
      <c r="N19" s="183"/>
      <c r="O19" s="183"/>
      <c r="P19" s="183"/>
      <c r="Q19" s="183">
        <v>2</v>
      </c>
      <c r="R19" s="183"/>
      <c r="S19" s="183">
        <v>3</v>
      </c>
      <c r="T19" s="183">
        <v>6</v>
      </c>
    </row>
    <row r="20" spans="1:20" ht="19.350000000000001" customHeight="1" x14ac:dyDescent="0.25">
      <c r="A20" s="180">
        <v>6</v>
      </c>
      <c r="B20" s="181">
        <v>951323243006</v>
      </c>
      <c r="C20" s="182" t="s">
        <v>246</v>
      </c>
      <c r="D20" s="183">
        <v>2</v>
      </c>
      <c r="E20" s="183">
        <v>2</v>
      </c>
      <c r="F20" s="183">
        <v>2</v>
      </c>
      <c r="G20" s="183">
        <v>2</v>
      </c>
      <c r="H20" s="183">
        <v>1</v>
      </c>
      <c r="I20" s="183"/>
      <c r="J20" s="183">
        <v>5</v>
      </c>
      <c r="K20" s="183"/>
      <c r="L20" s="183">
        <v>7</v>
      </c>
      <c r="M20" s="183">
        <v>7</v>
      </c>
      <c r="N20" s="183"/>
      <c r="O20" s="183">
        <v>5</v>
      </c>
      <c r="P20" s="183"/>
      <c r="Q20" s="183">
        <v>12</v>
      </c>
      <c r="R20" s="183"/>
      <c r="S20" s="183">
        <v>44</v>
      </c>
      <c r="T20" s="183">
        <v>88</v>
      </c>
    </row>
    <row r="21" spans="1:20" ht="19.350000000000001" customHeight="1" x14ac:dyDescent="0.25">
      <c r="A21" s="180">
        <v>7</v>
      </c>
      <c r="B21" s="181">
        <v>951323243007</v>
      </c>
      <c r="C21" s="182" t="s">
        <v>247</v>
      </c>
      <c r="D21" s="183">
        <v>2</v>
      </c>
      <c r="E21" s="183">
        <v>2</v>
      </c>
      <c r="F21" s="183">
        <v>2</v>
      </c>
      <c r="G21" s="183">
        <v>2</v>
      </c>
      <c r="H21" s="183">
        <v>2</v>
      </c>
      <c r="I21" s="183">
        <v>7</v>
      </c>
      <c r="J21" s="183"/>
      <c r="K21" s="183"/>
      <c r="L21" s="183">
        <v>7</v>
      </c>
      <c r="M21" s="183">
        <v>7</v>
      </c>
      <c r="N21" s="183"/>
      <c r="O21" s="183">
        <v>7</v>
      </c>
      <c r="P21" s="183"/>
      <c r="Q21" s="183">
        <v>12</v>
      </c>
      <c r="R21" s="183"/>
      <c r="S21" s="183">
        <v>50</v>
      </c>
      <c r="T21" s="183">
        <v>100</v>
      </c>
    </row>
    <row r="22" spans="1:20" ht="19.350000000000001" customHeight="1" x14ac:dyDescent="0.25">
      <c r="A22" s="180">
        <v>8</v>
      </c>
      <c r="B22" s="181">
        <v>951323243008</v>
      </c>
      <c r="C22" s="182" t="s">
        <v>248</v>
      </c>
      <c r="D22" s="183">
        <v>2</v>
      </c>
      <c r="E22" s="183">
        <v>1</v>
      </c>
      <c r="F22" s="183">
        <v>2</v>
      </c>
      <c r="G22" s="183">
        <v>2</v>
      </c>
      <c r="H22" s="183">
        <v>1</v>
      </c>
      <c r="I22" s="183">
        <v>1</v>
      </c>
      <c r="J22" s="183"/>
      <c r="K22" s="183"/>
      <c r="L22" s="183">
        <v>7</v>
      </c>
      <c r="M22" s="183">
        <v>7</v>
      </c>
      <c r="N22" s="183"/>
      <c r="O22" s="183"/>
      <c r="P22" s="183">
        <v>7</v>
      </c>
      <c r="Q22" s="183">
        <v>12</v>
      </c>
      <c r="R22" s="183"/>
      <c r="S22" s="183">
        <v>42</v>
      </c>
      <c r="T22" s="183">
        <v>84</v>
      </c>
    </row>
    <row r="23" spans="1:20" ht="19.350000000000001" customHeight="1" x14ac:dyDescent="0.25">
      <c r="A23" s="180">
        <v>9</v>
      </c>
      <c r="B23" s="181">
        <v>951323243009</v>
      </c>
      <c r="C23" s="182" t="s">
        <v>249</v>
      </c>
      <c r="D23" s="183">
        <v>1</v>
      </c>
      <c r="E23" s="183">
        <v>1</v>
      </c>
      <c r="F23" s="183">
        <v>2</v>
      </c>
      <c r="G23" s="183">
        <v>1</v>
      </c>
      <c r="H23" s="183">
        <v>1</v>
      </c>
      <c r="I23" s="183">
        <v>7</v>
      </c>
      <c r="J23" s="183"/>
      <c r="K23" s="183">
        <v>6</v>
      </c>
      <c r="L23" s="183"/>
      <c r="M23" s="183">
        <v>3</v>
      </c>
      <c r="N23" s="183"/>
      <c r="O23" s="183"/>
      <c r="P23" s="183">
        <v>7</v>
      </c>
      <c r="Q23" s="183"/>
      <c r="R23" s="183">
        <v>12</v>
      </c>
      <c r="S23" s="183">
        <v>41</v>
      </c>
      <c r="T23" s="183">
        <v>82</v>
      </c>
    </row>
    <row r="24" spans="1:20" ht="19.350000000000001" customHeight="1" x14ac:dyDescent="0.25">
      <c r="A24" s="180">
        <v>10</v>
      </c>
      <c r="B24" s="181">
        <v>951323243010</v>
      </c>
      <c r="C24" s="184" t="s">
        <v>250</v>
      </c>
      <c r="D24" s="183">
        <v>2</v>
      </c>
      <c r="E24" s="183">
        <v>2</v>
      </c>
      <c r="F24" s="183">
        <v>2</v>
      </c>
      <c r="G24" s="183">
        <v>2</v>
      </c>
      <c r="H24" s="183">
        <v>1</v>
      </c>
      <c r="I24" s="183"/>
      <c r="J24" s="183">
        <v>6</v>
      </c>
      <c r="K24" s="183"/>
      <c r="L24" s="183">
        <v>7</v>
      </c>
      <c r="M24" s="183"/>
      <c r="N24" s="183">
        <v>2</v>
      </c>
      <c r="O24" s="183">
        <v>7</v>
      </c>
      <c r="P24" s="183"/>
      <c r="Q24" s="183">
        <v>12</v>
      </c>
      <c r="R24" s="183"/>
      <c r="S24" s="183">
        <v>43</v>
      </c>
      <c r="T24" s="183">
        <v>86</v>
      </c>
    </row>
    <row r="25" spans="1:20" ht="19.350000000000001" customHeight="1" x14ac:dyDescent="0.25">
      <c r="A25" s="180">
        <v>11</v>
      </c>
      <c r="B25" s="181">
        <v>951323243011</v>
      </c>
      <c r="C25" s="182" t="s">
        <v>251</v>
      </c>
      <c r="D25" s="183"/>
      <c r="E25" s="183">
        <v>1</v>
      </c>
      <c r="F25" s="183">
        <v>2</v>
      </c>
      <c r="G25" s="183"/>
      <c r="H25" s="183">
        <v>0</v>
      </c>
      <c r="I25" s="183"/>
      <c r="J25" s="183"/>
      <c r="K25" s="183"/>
      <c r="L25" s="183"/>
      <c r="M25" s="183"/>
      <c r="N25" s="183"/>
      <c r="O25" s="183"/>
      <c r="P25" s="183"/>
      <c r="Q25" s="183"/>
      <c r="R25" s="183"/>
      <c r="S25" s="183">
        <v>3</v>
      </c>
      <c r="T25" s="183">
        <v>6</v>
      </c>
    </row>
    <row r="26" spans="1:20" ht="19.350000000000001" customHeight="1" x14ac:dyDescent="0.25">
      <c r="A26" s="180">
        <v>12</v>
      </c>
      <c r="B26" s="181">
        <v>951323243012</v>
      </c>
      <c r="C26" s="182" t="s">
        <v>252</v>
      </c>
      <c r="D26" s="183">
        <v>2</v>
      </c>
      <c r="E26" s="183">
        <v>2</v>
      </c>
      <c r="F26" s="183">
        <v>2</v>
      </c>
      <c r="G26" s="183">
        <v>2</v>
      </c>
      <c r="H26" s="183">
        <v>2</v>
      </c>
      <c r="I26" s="183"/>
      <c r="J26" s="183"/>
      <c r="K26" s="183"/>
      <c r="L26" s="183">
        <v>7</v>
      </c>
      <c r="M26" s="183"/>
      <c r="N26" s="183"/>
      <c r="O26" s="183"/>
      <c r="P26" s="183">
        <v>7</v>
      </c>
      <c r="Q26" s="183">
        <v>12</v>
      </c>
      <c r="R26" s="183"/>
      <c r="S26" s="183">
        <v>36</v>
      </c>
      <c r="T26" s="183">
        <v>72</v>
      </c>
    </row>
    <row r="27" spans="1:20" ht="19.350000000000001" customHeight="1" x14ac:dyDescent="0.25">
      <c r="A27" s="180">
        <v>13</v>
      </c>
      <c r="B27" s="181">
        <v>951323243013</v>
      </c>
      <c r="C27" s="182" t="s">
        <v>253</v>
      </c>
      <c r="D27" s="183">
        <v>2</v>
      </c>
      <c r="E27" s="183">
        <v>2</v>
      </c>
      <c r="F27" s="183">
        <v>2</v>
      </c>
      <c r="G27" s="183">
        <v>2</v>
      </c>
      <c r="H27" s="183">
        <v>2</v>
      </c>
      <c r="I27" s="183">
        <v>7</v>
      </c>
      <c r="J27" s="183"/>
      <c r="K27" s="183">
        <v>7</v>
      </c>
      <c r="L27" s="183"/>
      <c r="M27" s="183">
        <v>7</v>
      </c>
      <c r="N27" s="183"/>
      <c r="O27" s="183"/>
      <c r="P27" s="183">
        <v>6</v>
      </c>
      <c r="Q27" s="183"/>
      <c r="R27" s="183">
        <v>11</v>
      </c>
      <c r="S27" s="183">
        <v>48</v>
      </c>
      <c r="T27" s="183">
        <v>96</v>
      </c>
    </row>
    <row r="28" spans="1:20" ht="19.350000000000001" customHeight="1" x14ac:dyDescent="0.25">
      <c r="A28" s="180">
        <v>14</v>
      </c>
      <c r="B28" s="181">
        <v>951323243014</v>
      </c>
      <c r="C28" s="182" t="s">
        <v>254</v>
      </c>
      <c r="D28" s="183">
        <v>1</v>
      </c>
      <c r="E28" s="183">
        <v>2</v>
      </c>
      <c r="F28" s="183">
        <v>2</v>
      </c>
      <c r="G28" s="183">
        <v>2</v>
      </c>
      <c r="H28" s="183">
        <v>1</v>
      </c>
      <c r="I28" s="183"/>
      <c r="J28" s="183"/>
      <c r="K28" s="183"/>
      <c r="L28" s="183">
        <v>7</v>
      </c>
      <c r="M28" s="183"/>
      <c r="N28" s="183">
        <v>7</v>
      </c>
      <c r="O28" s="183"/>
      <c r="P28" s="183">
        <v>7</v>
      </c>
      <c r="Q28" s="183">
        <v>12</v>
      </c>
      <c r="R28" s="183"/>
      <c r="S28" s="183">
        <v>41</v>
      </c>
      <c r="T28" s="183">
        <v>82</v>
      </c>
    </row>
    <row r="29" spans="1:20" ht="19.350000000000001" customHeight="1" x14ac:dyDescent="0.25">
      <c r="A29" s="180">
        <v>15</v>
      </c>
      <c r="B29" s="181">
        <v>951323243015</v>
      </c>
      <c r="C29" s="182" t="s">
        <v>255</v>
      </c>
      <c r="D29" s="183">
        <v>1</v>
      </c>
      <c r="E29" s="183">
        <v>1</v>
      </c>
      <c r="F29" s="183">
        <v>2</v>
      </c>
      <c r="G29" s="183">
        <v>2</v>
      </c>
      <c r="H29" s="183">
        <v>2</v>
      </c>
      <c r="I29" s="183">
        <v>1</v>
      </c>
      <c r="J29" s="183"/>
      <c r="K29" s="183">
        <v>6</v>
      </c>
      <c r="L29" s="183"/>
      <c r="M29" s="183">
        <v>7</v>
      </c>
      <c r="N29" s="183"/>
      <c r="O29" s="183">
        <v>6</v>
      </c>
      <c r="P29" s="183"/>
      <c r="Q29" s="183">
        <v>11</v>
      </c>
      <c r="R29" s="183"/>
      <c r="S29" s="183">
        <v>39</v>
      </c>
      <c r="T29" s="183">
        <v>78</v>
      </c>
    </row>
    <row r="30" spans="1:20" ht="19.350000000000001" customHeight="1" x14ac:dyDescent="0.25">
      <c r="A30" s="180">
        <v>16</v>
      </c>
      <c r="B30" s="181">
        <v>951323243016</v>
      </c>
      <c r="C30" s="182" t="s">
        <v>256</v>
      </c>
      <c r="D30" s="183">
        <v>1</v>
      </c>
      <c r="E30" s="183">
        <v>1</v>
      </c>
      <c r="F30" s="183">
        <v>2</v>
      </c>
      <c r="G30" s="183">
        <v>1</v>
      </c>
      <c r="H30" s="183">
        <v>1</v>
      </c>
      <c r="I30" s="183"/>
      <c r="J30" s="183"/>
      <c r="K30" s="183"/>
      <c r="L30" s="183">
        <v>3</v>
      </c>
      <c r="M30" s="183"/>
      <c r="N30" s="183"/>
      <c r="O30" s="183"/>
      <c r="P30" s="183">
        <v>5</v>
      </c>
      <c r="Q30" s="183">
        <v>11</v>
      </c>
      <c r="R30" s="183"/>
      <c r="S30" s="183">
        <v>25</v>
      </c>
      <c r="T30" s="183">
        <v>50</v>
      </c>
    </row>
    <row r="31" spans="1:20" ht="19.350000000000001" customHeight="1" x14ac:dyDescent="0.25">
      <c r="A31" s="180">
        <v>17</v>
      </c>
      <c r="B31" s="181">
        <v>951323243017</v>
      </c>
      <c r="C31" s="182" t="s">
        <v>257</v>
      </c>
      <c r="D31" s="183">
        <v>1</v>
      </c>
      <c r="E31" s="183">
        <v>2</v>
      </c>
      <c r="F31" s="183">
        <v>2</v>
      </c>
      <c r="G31" s="183">
        <v>1</v>
      </c>
      <c r="H31" s="183">
        <v>2</v>
      </c>
      <c r="I31" s="183"/>
      <c r="J31" s="183">
        <v>1</v>
      </c>
      <c r="K31" s="183"/>
      <c r="L31" s="183">
        <v>4</v>
      </c>
      <c r="M31" s="183"/>
      <c r="N31" s="183">
        <v>6</v>
      </c>
      <c r="O31" s="183">
        <v>6</v>
      </c>
      <c r="P31" s="183"/>
      <c r="Q31" s="183">
        <v>7</v>
      </c>
      <c r="R31" s="183"/>
      <c r="S31" s="183">
        <v>32</v>
      </c>
      <c r="T31" s="183">
        <v>64</v>
      </c>
    </row>
    <row r="32" spans="1:20" ht="19.350000000000001" customHeight="1" x14ac:dyDescent="0.25">
      <c r="A32" s="180">
        <v>18</v>
      </c>
      <c r="B32" s="181">
        <v>951323243018</v>
      </c>
      <c r="C32" s="182" t="s">
        <v>258</v>
      </c>
      <c r="D32" s="183">
        <v>2</v>
      </c>
      <c r="E32" s="183">
        <v>2</v>
      </c>
      <c r="F32" s="183">
        <v>2</v>
      </c>
      <c r="G32" s="183">
        <v>2</v>
      </c>
      <c r="H32" s="183">
        <v>2</v>
      </c>
      <c r="I32" s="183">
        <v>7</v>
      </c>
      <c r="J32" s="183"/>
      <c r="K32" s="183"/>
      <c r="L32" s="183">
        <v>7</v>
      </c>
      <c r="M32" s="183"/>
      <c r="N32" s="183">
        <v>7</v>
      </c>
      <c r="O32" s="183"/>
      <c r="P32" s="183">
        <v>7</v>
      </c>
      <c r="Q32" s="183">
        <v>6</v>
      </c>
      <c r="R32" s="183"/>
      <c r="S32" s="183">
        <v>44</v>
      </c>
      <c r="T32" s="183">
        <v>88</v>
      </c>
    </row>
    <row r="33" spans="1:20" ht="19.350000000000001" customHeight="1" x14ac:dyDescent="0.25">
      <c r="A33" s="180">
        <v>19</v>
      </c>
      <c r="B33" s="181">
        <v>951323243019</v>
      </c>
      <c r="C33" s="182" t="s">
        <v>259</v>
      </c>
      <c r="D33" s="183">
        <v>2</v>
      </c>
      <c r="E33" s="183">
        <v>2</v>
      </c>
      <c r="F33" s="183">
        <v>2</v>
      </c>
      <c r="G33" s="183">
        <v>2</v>
      </c>
      <c r="H33" s="183">
        <v>1</v>
      </c>
      <c r="I33" s="183">
        <v>5</v>
      </c>
      <c r="J33" s="183"/>
      <c r="K33" s="183">
        <v>7</v>
      </c>
      <c r="L33" s="183"/>
      <c r="M33" s="183">
        <v>7</v>
      </c>
      <c r="N33" s="183"/>
      <c r="O33" s="183"/>
      <c r="P33" s="183">
        <v>5</v>
      </c>
      <c r="Q33" s="183"/>
      <c r="R33" s="183">
        <v>10</v>
      </c>
      <c r="S33" s="183">
        <v>43</v>
      </c>
      <c r="T33" s="183">
        <v>86</v>
      </c>
    </row>
    <row r="34" spans="1:20" ht="19.350000000000001" customHeight="1" x14ac:dyDescent="0.25">
      <c r="A34" s="180">
        <v>20</v>
      </c>
      <c r="B34" s="181">
        <v>951323243020</v>
      </c>
      <c r="C34" s="182" t="s">
        <v>260</v>
      </c>
      <c r="D34" s="183">
        <v>2</v>
      </c>
      <c r="E34" s="183">
        <v>2</v>
      </c>
      <c r="F34" s="183">
        <v>2</v>
      </c>
      <c r="G34" s="183">
        <v>2</v>
      </c>
      <c r="H34" s="183">
        <v>2</v>
      </c>
      <c r="I34" s="183">
        <v>7</v>
      </c>
      <c r="J34" s="183"/>
      <c r="K34" s="183"/>
      <c r="L34" s="183">
        <v>5</v>
      </c>
      <c r="M34" s="183"/>
      <c r="N34" s="183">
        <v>7</v>
      </c>
      <c r="O34" s="183"/>
      <c r="P34" s="183">
        <v>7</v>
      </c>
      <c r="Q34" s="183">
        <v>12</v>
      </c>
      <c r="R34" s="183"/>
      <c r="S34" s="183">
        <v>48</v>
      </c>
      <c r="T34" s="183">
        <v>96</v>
      </c>
    </row>
    <row r="35" spans="1:20" ht="19.350000000000001" customHeight="1" x14ac:dyDescent="0.25">
      <c r="A35" s="180">
        <v>21</v>
      </c>
      <c r="B35" s="181">
        <v>951323243021</v>
      </c>
      <c r="C35" s="182" t="s">
        <v>261</v>
      </c>
      <c r="D35" s="183">
        <v>2</v>
      </c>
      <c r="E35" s="183">
        <v>2</v>
      </c>
      <c r="F35" s="183">
        <v>2</v>
      </c>
      <c r="G35" s="183">
        <v>2</v>
      </c>
      <c r="H35" s="183">
        <v>2</v>
      </c>
      <c r="I35" s="183">
        <v>7</v>
      </c>
      <c r="J35" s="183"/>
      <c r="K35" s="183"/>
      <c r="L35" s="183">
        <v>7</v>
      </c>
      <c r="M35" s="183">
        <v>7</v>
      </c>
      <c r="N35" s="183"/>
      <c r="O35" s="183">
        <v>7</v>
      </c>
      <c r="P35" s="183"/>
      <c r="Q35" s="183">
        <v>12</v>
      </c>
      <c r="R35" s="183"/>
      <c r="S35" s="183">
        <v>50</v>
      </c>
      <c r="T35" s="183">
        <v>100</v>
      </c>
    </row>
    <row r="36" spans="1:20" ht="19.350000000000001" customHeight="1" x14ac:dyDescent="0.25">
      <c r="A36" s="180">
        <v>22</v>
      </c>
      <c r="B36" s="181">
        <v>951323243022</v>
      </c>
      <c r="C36" s="182" t="s">
        <v>262</v>
      </c>
      <c r="D36" s="183">
        <v>2</v>
      </c>
      <c r="E36" s="183">
        <v>2</v>
      </c>
      <c r="F36" s="183">
        <v>2</v>
      </c>
      <c r="G36" s="183">
        <v>2</v>
      </c>
      <c r="H36" s="183">
        <v>1</v>
      </c>
      <c r="I36" s="183"/>
      <c r="J36" s="183">
        <v>5</v>
      </c>
      <c r="K36" s="183"/>
      <c r="L36" s="183">
        <v>1</v>
      </c>
      <c r="M36" s="183">
        <v>6</v>
      </c>
      <c r="N36" s="183"/>
      <c r="O36" s="183"/>
      <c r="P36" s="183">
        <v>7</v>
      </c>
      <c r="Q36" s="183"/>
      <c r="R36" s="183">
        <v>12</v>
      </c>
      <c r="S36" s="183">
        <v>40</v>
      </c>
      <c r="T36" s="183">
        <v>80</v>
      </c>
    </row>
    <row r="37" spans="1:20" ht="19.350000000000001" customHeight="1" x14ac:dyDescent="0.25">
      <c r="A37" s="180">
        <v>23</v>
      </c>
      <c r="B37" s="181">
        <v>951323243023</v>
      </c>
      <c r="C37" s="182" t="s">
        <v>263</v>
      </c>
      <c r="D37" s="183"/>
      <c r="E37" s="183"/>
      <c r="F37" s="183"/>
      <c r="G37" s="183"/>
      <c r="H37" s="183"/>
      <c r="I37" s="183"/>
      <c r="J37" s="183"/>
      <c r="K37" s="183"/>
      <c r="L37" s="183"/>
      <c r="M37" s="183"/>
      <c r="N37" s="183"/>
      <c r="O37" s="183"/>
      <c r="P37" s="183"/>
      <c r="Q37" s="183"/>
      <c r="R37" s="183"/>
      <c r="S37" s="183"/>
      <c r="T37" s="183"/>
    </row>
    <row r="38" spans="1:20" ht="19.350000000000001" customHeight="1" x14ac:dyDescent="0.25">
      <c r="A38" s="180">
        <v>24</v>
      </c>
      <c r="B38" s="181">
        <v>951323243024</v>
      </c>
      <c r="C38" s="182" t="s">
        <v>264</v>
      </c>
      <c r="D38" s="183">
        <v>1</v>
      </c>
      <c r="E38" s="183">
        <v>1</v>
      </c>
      <c r="F38" s="183">
        <v>2</v>
      </c>
      <c r="G38" s="183">
        <v>1</v>
      </c>
      <c r="H38" s="183">
        <v>1</v>
      </c>
      <c r="I38" s="183">
        <v>0</v>
      </c>
      <c r="J38" s="183"/>
      <c r="K38" s="183"/>
      <c r="L38" s="183">
        <v>1</v>
      </c>
      <c r="M38" s="183"/>
      <c r="N38" s="183">
        <v>1</v>
      </c>
      <c r="O38" s="183"/>
      <c r="P38" s="183">
        <v>6</v>
      </c>
      <c r="Q38" s="183">
        <v>12</v>
      </c>
      <c r="R38" s="183"/>
      <c r="S38" s="183">
        <v>26</v>
      </c>
      <c r="T38" s="183">
        <v>52</v>
      </c>
    </row>
    <row r="39" spans="1:20" ht="19.350000000000001" customHeight="1" x14ac:dyDescent="0.25">
      <c r="A39" s="180">
        <v>25</v>
      </c>
      <c r="B39" s="181">
        <v>951323243025</v>
      </c>
      <c r="C39" s="182" t="s">
        <v>265</v>
      </c>
      <c r="D39" s="183">
        <v>2</v>
      </c>
      <c r="E39" s="183">
        <v>1</v>
      </c>
      <c r="F39" s="183">
        <v>2</v>
      </c>
      <c r="G39" s="183"/>
      <c r="H39" s="183">
        <v>1</v>
      </c>
      <c r="I39" s="183"/>
      <c r="J39" s="183">
        <v>3</v>
      </c>
      <c r="K39" s="183">
        <v>6</v>
      </c>
      <c r="L39" s="183"/>
      <c r="M39" s="183">
        <v>7</v>
      </c>
      <c r="N39" s="183"/>
      <c r="O39" s="183"/>
      <c r="P39" s="183">
        <v>7</v>
      </c>
      <c r="Q39" s="183">
        <v>12</v>
      </c>
      <c r="R39" s="183"/>
      <c r="S39" s="183">
        <v>41</v>
      </c>
      <c r="T39" s="183">
        <v>82</v>
      </c>
    </row>
    <row r="40" spans="1:20" ht="19.350000000000001" customHeight="1" x14ac:dyDescent="0.25">
      <c r="A40" s="180">
        <v>26</v>
      </c>
      <c r="B40" s="181">
        <v>951323243026</v>
      </c>
      <c r="C40" s="182" t="s">
        <v>266</v>
      </c>
      <c r="D40" s="183">
        <v>2</v>
      </c>
      <c r="E40" s="183">
        <v>2</v>
      </c>
      <c r="F40" s="183">
        <v>2</v>
      </c>
      <c r="G40" s="183">
        <v>2</v>
      </c>
      <c r="H40" s="183">
        <v>2</v>
      </c>
      <c r="I40" s="183">
        <v>6</v>
      </c>
      <c r="J40" s="183"/>
      <c r="K40" s="183"/>
      <c r="L40" s="183">
        <v>6</v>
      </c>
      <c r="M40" s="183">
        <v>7</v>
      </c>
      <c r="N40" s="183"/>
      <c r="O40" s="183">
        <v>7</v>
      </c>
      <c r="P40" s="183"/>
      <c r="Q40" s="183">
        <v>12</v>
      </c>
      <c r="R40" s="183"/>
      <c r="S40" s="183">
        <v>48</v>
      </c>
      <c r="T40" s="183">
        <v>96</v>
      </c>
    </row>
    <row r="41" spans="1:20" ht="19.350000000000001" customHeight="1" x14ac:dyDescent="0.25">
      <c r="A41" s="180">
        <v>27</v>
      </c>
      <c r="B41" s="181">
        <v>951323243027</v>
      </c>
      <c r="C41" s="182" t="s">
        <v>267</v>
      </c>
      <c r="D41" s="183"/>
      <c r="E41" s="183"/>
      <c r="F41" s="183"/>
      <c r="G41" s="183"/>
      <c r="H41" s="183"/>
      <c r="I41" s="183"/>
      <c r="J41" s="183"/>
      <c r="K41" s="183"/>
      <c r="L41" s="183"/>
      <c r="M41" s="183"/>
      <c r="N41" s="183"/>
      <c r="O41" s="183"/>
      <c r="P41" s="183"/>
      <c r="Q41" s="183"/>
      <c r="R41" s="183"/>
      <c r="S41" s="183"/>
      <c r="T41" s="183"/>
    </row>
    <row r="42" spans="1:20" ht="19.350000000000001" customHeight="1" x14ac:dyDescent="0.25">
      <c r="A42" s="180">
        <v>28</v>
      </c>
      <c r="B42" s="181">
        <v>951323243028</v>
      </c>
      <c r="C42" s="182" t="s">
        <v>268</v>
      </c>
      <c r="D42" s="183">
        <v>1</v>
      </c>
      <c r="E42" s="183">
        <v>0</v>
      </c>
      <c r="F42" s="183"/>
      <c r="G42" s="183"/>
      <c r="H42" s="183">
        <v>1</v>
      </c>
      <c r="I42" s="183"/>
      <c r="J42" s="183">
        <v>5</v>
      </c>
      <c r="K42" s="183"/>
      <c r="L42" s="183">
        <v>4</v>
      </c>
      <c r="M42" s="183">
        <v>4</v>
      </c>
      <c r="N42" s="183"/>
      <c r="O42" s="183"/>
      <c r="P42" s="183">
        <v>7</v>
      </c>
      <c r="Q42" s="183"/>
      <c r="R42" s="183">
        <v>12</v>
      </c>
      <c r="S42" s="183">
        <v>34</v>
      </c>
      <c r="T42" s="183">
        <v>68</v>
      </c>
    </row>
    <row r="43" spans="1:20" ht="19.350000000000001" customHeight="1" x14ac:dyDescent="0.25">
      <c r="A43" s="180">
        <v>29</v>
      </c>
      <c r="B43" s="181">
        <v>951323243029</v>
      </c>
      <c r="C43" s="182" t="s">
        <v>269</v>
      </c>
      <c r="D43" s="183">
        <v>2</v>
      </c>
      <c r="E43" s="183">
        <v>2</v>
      </c>
      <c r="F43" s="183">
        <v>2</v>
      </c>
      <c r="G43" s="183">
        <v>2</v>
      </c>
      <c r="H43" s="183">
        <v>2</v>
      </c>
      <c r="I43" s="183">
        <v>7</v>
      </c>
      <c r="J43" s="183"/>
      <c r="K43" s="183"/>
      <c r="L43" s="183">
        <v>7</v>
      </c>
      <c r="M43" s="183">
        <v>7</v>
      </c>
      <c r="N43" s="183"/>
      <c r="O43" s="183">
        <v>7</v>
      </c>
      <c r="P43" s="183"/>
      <c r="Q43" s="183">
        <v>12</v>
      </c>
      <c r="R43" s="183"/>
      <c r="S43" s="183">
        <v>50</v>
      </c>
      <c r="T43" s="183">
        <v>100</v>
      </c>
    </row>
    <row r="44" spans="1:20" ht="19.350000000000001" customHeight="1" x14ac:dyDescent="0.25">
      <c r="A44" s="180">
        <v>30</v>
      </c>
      <c r="B44" s="181">
        <v>951323243030</v>
      </c>
      <c r="C44" s="182" t="s">
        <v>270</v>
      </c>
      <c r="D44" s="183"/>
      <c r="E44" s="183"/>
      <c r="F44" s="183"/>
      <c r="G44" s="183"/>
      <c r="H44" s="183"/>
      <c r="I44" s="183"/>
      <c r="J44" s="183"/>
      <c r="K44" s="183"/>
      <c r="L44" s="183"/>
      <c r="M44" s="183"/>
      <c r="N44" s="183"/>
      <c r="O44" s="183"/>
      <c r="P44" s="183"/>
      <c r="Q44" s="183"/>
      <c r="R44" s="183"/>
      <c r="S44" s="183"/>
      <c r="T44" s="183"/>
    </row>
    <row r="45" spans="1:20" ht="19.350000000000001" customHeight="1" x14ac:dyDescent="0.25">
      <c r="A45" s="180">
        <v>31</v>
      </c>
      <c r="B45" s="181">
        <v>951323243031</v>
      </c>
      <c r="C45" s="182" t="s">
        <v>271</v>
      </c>
      <c r="D45" s="183">
        <v>1</v>
      </c>
      <c r="E45" s="183">
        <v>1</v>
      </c>
      <c r="F45" s="183"/>
      <c r="G45" s="183"/>
      <c r="H45" s="183"/>
      <c r="I45" s="183">
        <v>4</v>
      </c>
      <c r="J45" s="183"/>
      <c r="K45" s="183"/>
      <c r="L45" s="183">
        <v>7</v>
      </c>
      <c r="M45" s="183"/>
      <c r="N45" s="183"/>
      <c r="O45" s="183"/>
      <c r="P45" s="183"/>
      <c r="Q45" s="183">
        <v>12</v>
      </c>
      <c r="R45" s="183"/>
      <c r="S45" s="183">
        <v>25</v>
      </c>
      <c r="T45" s="183">
        <v>50</v>
      </c>
    </row>
    <row r="46" spans="1:20" ht="19.350000000000001" customHeight="1" x14ac:dyDescent="0.25">
      <c r="A46" s="180">
        <v>32</v>
      </c>
      <c r="B46" s="181">
        <v>951323243032</v>
      </c>
      <c r="C46" s="182" t="s">
        <v>272</v>
      </c>
      <c r="D46" s="183">
        <v>2</v>
      </c>
      <c r="E46" s="183">
        <v>2</v>
      </c>
      <c r="F46" s="183">
        <v>2</v>
      </c>
      <c r="G46" s="183">
        <v>1</v>
      </c>
      <c r="H46" s="183"/>
      <c r="I46" s="183"/>
      <c r="J46" s="183"/>
      <c r="K46" s="183"/>
      <c r="L46" s="183">
        <v>6</v>
      </c>
      <c r="M46" s="183"/>
      <c r="N46" s="183">
        <v>6</v>
      </c>
      <c r="O46" s="183"/>
      <c r="P46" s="183">
        <v>6</v>
      </c>
      <c r="Q46" s="183">
        <v>12</v>
      </c>
      <c r="R46" s="183"/>
      <c r="S46" s="183">
        <v>37</v>
      </c>
      <c r="T46" s="183">
        <v>74</v>
      </c>
    </row>
    <row r="47" spans="1:20" ht="19.350000000000001" customHeight="1" x14ac:dyDescent="0.25">
      <c r="A47" s="180">
        <v>33</v>
      </c>
      <c r="B47" s="181">
        <v>951323243033</v>
      </c>
      <c r="C47" s="182" t="s">
        <v>273</v>
      </c>
      <c r="D47" s="183">
        <v>2</v>
      </c>
      <c r="E47" s="183">
        <v>2</v>
      </c>
      <c r="F47" s="183">
        <v>2</v>
      </c>
      <c r="G47" s="183">
        <v>1</v>
      </c>
      <c r="H47" s="183">
        <v>2</v>
      </c>
      <c r="I47" s="183"/>
      <c r="J47" s="183"/>
      <c r="K47" s="183"/>
      <c r="L47" s="183">
        <v>6</v>
      </c>
      <c r="M47" s="183"/>
      <c r="N47" s="183"/>
      <c r="O47" s="183"/>
      <c r="P47" s="183">
        <v>6</v>
      </c>
      <c r="Q47" s="183"/>
      <c r="R47" s="183">
        <v>12</v>
      </c>
      <c r="S47" s="183">
        <v>33</v>
      </c>
      <c r="T47" s="183">
        <v>66</v>
      </c>
    </row>
    <row r="48" spans="1:20" ht="20.100000000000001" customHeight="1" x14ac:dyDescent="0.25">
      <c r="A48" s="180">
        <v>34</v>
      </c>
      <c r="B48" s="181">
        <v>951323243034</v>
      </c>
      <c r="C48" s="182" t="s">
        <v>274</v>
      </c>
      <c r="D48" s="183">
        <v>2</v>
      </c>
      <c r="E48" s="183">
        <v>2</v>
      </c>
      <c r="F48" s="183">
        <v>2</v>
      </c>
      <c r="G48" s="183">
        <v>2</v>
      </c>
      <c r="H48" s="183">
        <v>2</v>
      </c>
      <c r="I48" s="183"/>
      <c r="J48" s="183">
        <v>5</v>
      </c>
      <c r="K48" s="183"/>
      <c r="L48" s="183">
        <v>7</v>
      </c>
      <c r="M48" s="183">
        <v>7</v>
      </c>
      <c r="N48" s="183"/>
      <c r="O48" s="183"/>
      <c r="P48" s="183">
        <v>6</v>
      </c>
      <c r="Q48" s="183"/>
      <c r="R48" s="183">
        <v>12</v>
      </c>
      <c r="S48" s="183">
        <v>47</v>
      </c>
      <c r="T48" s="183">
        <v>94</v>
      </c>
    </row>
    <row r="49" spans="1:20" ht="20.100000000000001" customHeight="1" x14ac:dyDescent="0.25">
      <c r="A49" s="180">
        <v>35</v>
      </c>
      <c r="B49" s="181">
        <v>951323243035</v>
      </c>
      <c r="C49" s="185" t="s">
        <v>275</v>
      </c>
      <c r="D49" s="183">
        <v>1</v>
      </c>
      <c r="E49" s="183">
        <v>1</v>
      </c>
      <c r="F49" s="183">
        <v>2</v>
      </c>
      <c r="G49" s="183">
        <v>1</v>
      </c>
      <c r="H49" s="183">
        <v>0</v>
      </c>
      <c r="I49" s="183">
        <v>0</v>
      </c>
      <c r="J49" s="183"/>
      <c r="K49" s="183">
        <v>7</v>
      </c>
      <c r="L49" s="183"/>
      <c r="M49" s="183"/>
      <c r="N49" s="183">
        <v>7</v>
      </c>
      <c r="O49" s="183"/>
      <c r="P49" s="183">
        <v>7</v>
      </c>
      <c r="Q49" s="183">
        <v>11</v>
      </c>
      <c r="R49" s="183"/>
      <c r="S49" s="183">
        <v>37</v>
      </c>
      <c r="T49" s="183">
        <v>74</v>
      </c>
    </row>
    <row r="50" spans="1:20" ht="19.350000000000001" customHeight="1" x14ac:dyDescent="0.25">
      <c r="A50" s="180">
        <v>36</v>
      </c>
      <c r="B50" s="181">
        <v>951323243036</v>
      </c>
      <c r="C50" s="185" t="s">
        <v>276</v>
      </c>
      <c r="D50" s="183">
        <v>1</v>
      </c>
      <c r="E50" s="183">
        <v>2</v>
      </c>
      <c r="F50" s="183">
        <v>1</v>
      </c>
      <c r="G50" s="183">
        <v>1</v>
      </c>
      <c r="H50" s="183">
        <v>1</v>
      </c>
      <c r="I50" s="183"/>
      <c r="J50" s="183"/>
      <c r="K50" s="183"/>
      <c r="L50" s="183">
        <v>6</v>
      </c>
      <c r="M50" s="183"/>
      <c r="N50" s="183"/>
      <c r="O50" s="183"/>
      <c r="P50" s="183">
        <v>6</v>
      </c>
      <c r="Q50" s="183">
        <v>12</v>
      </c>
      <c r="R50" s="183"/>
      <c r="S50" s="183">
        <v>30</v>
      </c>
      <c r="T50" s="183">
        <v>60</v>
      </c>
    </row>
    <row r="51" spans="1:20" ht="19.350000000000001" customHeight="1" x14ac:dyDescent="0.25">
      <c r="A51" s="180">
        <v>37</v>
      </c>
      <c r="B51" s="181">
        <v>951323243037</v>
      </c>
      <c r="C51" s="185" t="s">
        <v>277</v>
      </c>
      <c r="D51" s="183"/>
      <c r="E51" s="183"/>
      <c r="F51" s="183"/>
      <c r="G51" s="183"/>
      <c r="H51" s="183"/>
      <c r="I51" s="183"/>
      <c r="J51" s="183"/>
      <c r="K51" s="183"/>
      <c r="L51" s="183"/>
      <c r="M51" s="183"/>
      <c r="N51" s="183"/>
      <c r="O51" s="183"/>
      <c r="P51" s="183"/>
      <c r="Q51" s="183"/>
      <c r="R51" s="183"/>
      <c r="S51" s="183"/>
      <c r="T51" s="183"/>
    </row>
    <row r="52" spans="1:20" ht="19.350000000000001" customHeight="1" x14ac:dyDescent="0.25">
      <c r="A52" s="180">
        <v>38</v>
      </c>
      <c r="B52" s="181">
        <v>951323243038</v>
      </c>
      <c r="C52" s="182" t="s">
        <v>278</v>
      </c>
      <c r="D52" s="183"/>
      <c r="E52" s="183"/>
      <c r="F52" s="183"/>
      <c r="G52" s="183"/>
      <c r="H52" s="183"/>
      <c r="I52" s="183"/>
      <c r="J52" s="183"/>
      <c r="K52" s="183">
        <v>7</v>
      </c>
      <c r="L52" s="183"/>
      <c r="M52" s="183"/>
      <c r="N52" s="183">
        <v>7</v>
      </c>
      <c r="O52" s="183"/>
      <c r="P52" s="183">
        <v>7</v>
      </c>
      <c r="Q52" s="183"/>
      <c r="R52" s="183">
        <v>12</v>
      </c>
      <c r="S52" s="183">
        <v>33</v>
      </c>
      <c r="T52" s="183">
        <v>66</v>
      </c>
    </row>
    <row r="53" spans="1:20" ht="19.350000000000001" customHeight="1" x14ac:dyDescent="0.25">
      <c r="A53" s="180">
        <v>39</v>
      </c>
      <c r="B53" s="181">
        <v>951323243039</v>
      </c>
      <c r="C53" s="182" t="s">
        <v>279</v>
      </c>
      <c r="D53" s="183">
        <v>2</v>
      </c>
      <c r="E53" s="183">
        <v>2</v>
      </c>
      <c r="F53" s="183">
        <v>2</v>
      </c>
      <c r="G53" s="183">
        <v>2</v>
      </c>
      <c r="H53" s="183">
        <v>1</v>
      </c>
      <c r="I53" s="183">
        <v>7</v>
      </c>
      <c r="J53" s="183"/>
      <c r="K53" s="183"/>
      <c r="L53" s="183">
        <v>6</v>
      </c>
      <c r="M53" s="183"/>
      <c r="N53" s="183">
        <v>6</v>
      </c>
      <c r="O53" s="183"/>
      <c r="P53" s="183">
        <v>7</v>
      </c>
      <c r="Q53" s="183">
        <v>12</v>
      </c>
      <c r="R53" s="183"/>
      <c r="S53" s="183">
        <v>47</v>
      </c>
      <c r="T53" s="183">
        <v>94</v>
      </c>
    </row>
    <row r="54" spans="1:20" ht="19.350000000000001" customHeight="1" x14ac:dyDescent="0.25">
      <c r="A54" s="180">
        <v>40</v>
      </c>
      <c r="B54" s="181">
        <v>951323243042</v>
      </c>
      <c r="C54" s="182" t="s">
        <v>280</v>
      </c>
      <c r="D54" s="183">
        <v>2</v>
      </c>
      <c r="E54" s="183">
        <v>1</v>
      </c>
      <c r="F54" s="183">
        <v>1</v>
      </c>
      <c r="G54" s="183">
        <v>2</v>
      </c>
      <c r="H54" s="183">
        <v>1</v>
      </c>
      <c r="I54" s="183"/>
      <c r="J54" s="183">
        <v>5</v>
      </c>
      <c r="K54" s="183"/>
      <c r="L54" s="183">
        <v>4</v>
      </c>
      <c r="M54" s="183">
        <v>5</v>
      </c>
      <c r="N54" s="183"/>
      <c r="O54" s="183">
        <v>7</v>
      </c>
      <c r="P54" s="183"/>
      <c r="Q54" s="183">
        <v>12</v>
      </c>
      <c r="R54" s="183"/>
      <c r="S54" s="183">
        <v>40</v>
      </c>
      <c r="T54" s="183">
        <v>80</v>
      </c>
    </row>
    <row r="55" spans="1:20" ht="19.350000000000001" customHeight="1" x14ac:dyDescent="0.25">
      <c r="A55" s="180">
        <v>41</v>
      </c>
      <c r="B55" s="181">
        <v>951323243043</v>
      </c>
      <c r="C55" s="182" t="s">
        <v>281</v>
      </c>
      <c r="D55" s="183"/>
      <c r="E55" s="183"/>
      <c r="F55" s="183">
        <v>2</v>
      </c>
      <c r="G55" s="183"/>
      <c r="H55" s="183"/>
      <c r="I55" s="183"/>
      <c r="J55" s="183"/>
      <c r="K55" s="183"/>
      <c r="L55" s="183">
        <v>7</v>
      </c>
      <c r="M55" s="183"/>
      <c r="N55" s="183"/>
      <c r="O55" s="183"/>
      <c r="P55" s="183">
        <v>6</v>
      </c>
      <c r="Q55" s="183">
        <v>12</v>
      </c>
      <c r="R55" s="183"/>
      <c r="S55" s="183">
        <v>27</v>
      </c>
      <c r="T55" s="183">
        <v>54</v>
      </c>
    </row>
    <row r="56" spans="1:20" ht="19.350000000000001" customHeight="1" x14ac:dyDescent="0.25">
      <c r="A56" s="180">
        <v>42</v>
      </c>
      <c r="B56" s="181">
        <v>951323243045</v>
      </c>
      <c r="C56" s="182" t="s">
        <v>282</v>
      </c>
      <c r="D56" s="183">
        <v>2</v>
      </c>
      <c r="E56" s="183">
        <v>1</v>
      </c>
      <c r="F56" s="183">
        <v>2</v>
      </c>
      <c r="G56" s="183"/>
      <c r="H56" s="183">
        <v>1</v>
      </c>
      <c r="I56" s="183"/>
      <c r="J56" s="183">
        <v>5</v>
      </c>
      <c r="K56" s="183"/>
      <c r="L56" s="183">
        <v>1</v>
      </c>
      <c r="M56" s="183"/>
      <c r="N56" s="183"/>
      <c r="O56" s="183"/>
      <c r="P56" s="183">
        <v>7</v>
      </c>
      <c r="Q56" s="183">
        <v>11</v>
      </c>
      <c r="R56" s="183"/>
      <c r="S56" s="183">
        <v>30</v>
      </c>
      <c r="T56" s="183">
        <v>60</v>
      </c>
    </row>
    <row r="57" spans="1:20" ht="20.100000000000001" customHeight="1" x14ac:dyDescent="0.25">
      <c r="A57" s="180">
        <v>43</v>
      </c>
      <c r="B57" s="181">
        <v>951323243046</v>
      </c>
      <c r="C57" s="182" t="s">
        <v>283</v>
      </c>
      <c r="D57" s="183">
        <v>1</v>
      </c>
      <c r="E57" s="183">
        <v>0</v>
      </c>
      <c r="F57" s="183">
        <v>2</v>
      </c>
      <c r="G57" s="183">
        <v>1</v>
      </c>
      <c r="H57" s="183">
        <v>0</v>
      </c>
      <c r="I57" s="183">
        <v>7</v>
      </c>
      <c r="J57" s="183"/>
      <c r="K57" s="183">
        <v>7</v>
      </c>
      <c r="L57" s="183"/>
      <c r="M57" s="183">
        <v>6</v>
      </c>
      <c r="N57" s="183"/>
      <c r="O57" s="183"/>
      <c r="P57" s="183">
        <v>7</v>
      </c>
      <c r="Q57" s="183"/>
      <c r="R57" s="183">
        <v>12</v>
      </c>
      <c r="S57" s="183">
        <v>43</v>
      </c>
      <c r="T57" s="183">
        <v>86</v>
      </c>
    </row>
    <row r="58" spans="1:20" ht="20.100000000000001" customHeight="1" x14ac:dyDescent="0.25">
      <c r="A58" s="180">
        <v>44</v>
      </c>
      <c r="B58" s="181">
        <v>951323243047</v>
      </c>
      <c r="C58" s="182" t="s">
        <v>284</v>
      </c>
      <c r="D58" s="183">
        <v>1</v>
      </c>
      <c r="E58" s="183">
        <v>2</v>
      </c>
      <c r="F58" s="183">
        <v>2</v>
      </c>
      <c r="G58" s="183">
        <v>1</v>
      </c>
      <c r="H58" s="183">
        <v>1</v>
      </c>
      <c r="I58" s="183"/>
      <c r="J58" s="183">
        <v>4</v>
      </c>
      <c r="K58" s="183"/>
      <c r="L58" s="183"/>
      <c r="M58" s="183"/>
      <c r="N58" s="183">
        <v>6</v>
      </c>
      <c r="O58" s="183"/>
      <c r="P58" s="183">
        <v>6</v>
      </c>
      <c r="Q58" s="183">
        <v>12</v>
      </c>
      <c r="R58" s="183"/>
      <c r="S58" s="183">
        <v>35</v>
      </c>
      <c r="T58" s="183">
        <v>70</v>
      </c>
    </row>
    <row r="59" spans="1:20" ht="19.350000000000001" customHeight="1" x14ac:dyDescent="0.25">
      <c r="A59" s="180">
        <v>45</v>
      </c>
      <c r="B59" s="181">
        <v>951323243048</v>
      </c>
      <c r="C59" s="182" t="s">
        <v>285</v>
      </c>
      <c r="D59" s="183">
        <v>1</v>
      </c>
      <c r="E59" s="183">
        <v>1</v>
      </c>
      <c r="F59" s="183">
        <v>0</v>
      </c>
      <c r="G59" s="183">
        <v>0</v>
      </c>
      <c r="H59" s="183">
        <v>0</v>
      </c>
      <c r="I59" s="183"/>
      <c r="J59" s="183"/>
      <c r="K59" s="183"/>
      <c r="L59" s="183"/>
      <c r="M59" s="183"/>
      <c r="N59" s="183"/>
      <c r="O59" s="183"/>
      <c r="P59" s="183"/>
      <c r="Q59" s="183">
        <v>5</v>
      </c>
      <c r="R59" s="183"/>
      <c r="S59" s="183">
        <v>7</v>
      </c>
      <c r="T59" s="183">
        <v>14</v>
      </c>
    </row>
    <row r="60" spans="1:20" ht="19.350000000000001" customHeight="1" x14ac:dyDescent="0.25">
      <c r="A60" s="180">
        <v>46</v>
      </c>
      <c r="B60" s="181">
        <v>951323243049</v>
      </c>
      <c r="C60" s="182" t="s">
        <v>286</v>
      </c>
      <c r="D60" s="183"/>
      <c r="E60" s="183"/>
      <c r="F60" s="183"/>
      <c r="G60" s="183"/>
      <c r="H60" s="183"/>
      <c r="I60" s="183"/>
      <c r="J60" s="183"/>
      <c r="K60" s="183"/>
      <c r="L60" s="183"/>
      <c r="M60" s="183"/>
      <c r="N60" s="183"/>
      <c r="O60" s="183"/>
      <c r="P60" s="183"/>
      <c r="Q60" s="183"/>
      <c r="R60" s="183"/>
      <c r="S60" s="183"/>
      <c r="T60" s="183"/>
    </row>
    <row r="61" spans="1:20" ht="19.350000000000001" customHeight="1" x14ac:dyDescent="0.25">
      <c r="A61" s="180">
        <v>47</v>
      </c>
      <c r="B61" s="181">
        <v>951323243050</v>
      </c>
      <c r="C61" s="182" t="s">
        <v>287</v>
      </c>
      <c r="D61" s="183">
        <v>1</v>
      </c>
      <c r="E61" s="183">
        <v>1</v>
      </c>
      <c r="F61" s="183">
        <v>2</v>
      </c>
      <c r="G61" s="183">
        <v>1</v>
      </c>
      <c r="H61" s="183">
        <v>1</v>
      </c>
      <c r="I61" s="183">
        <v>7</v>
      </c>
      <c r="J61" s="183"/>
      <c r="K61" s="183"/>
      <c r="L61" s="183">
        <v>7</v>
      </c>
      <c r="M61" s="183">
        <v>6</v>
      </c>
      <c r="N61" s="183"/>
      <c r="O61" s="183">
        <v>7</v>
      </c>
      <c r="P61" s="183"/>
      <c r="Q61" s="183">
        <v>12</v>
      </c>
      <c r="R61" s="183"/>
      <c r="S61" s="183">
        <v>45</v>
      </c>
      <c r="T61" s="183">
        <v>90</v>
      </c>
    </row>
    <row r="62" spans="1:20" ht="19.350000000000001" customHeight="1" x14ac:dyDescent="0.25">
      <c r="A62" s="180">
        <v>48</v>
      </c>
      <c r="B62" s="186">
        <v>951323243051</v>
      </c>
      <c r="C62" s="187" t="s">
        <v>288</v>
      </c>
      <c r="D62" s="183"/>
      <c r="E62" s="183"/>
      <c r="F62" s="183"/>
      <c r="G62" s="183"/>
      <c r="H62" s="183"/>
      <c r="I62" s="183"/>
      <c r="J62" s="183"/>
      <c r="K62" s="183"/>
      <c r="L62" s="183">
        <v>7</v>
      </c>
      <c r="M62" s="183"/>
      <c r="N62" s="183"/>
      <c r="O62" s="183"/>
      <c r="P62" s="183">
        <v>4</v>
      </c>
      <c r="Q62" s="183"/>
      <c r="R62" s="183"/>
      <c r="S62" s="183">
        <v>11</v>
      </c>
      <c r="T62" s="183">
        <v>22</v>
      </c>
    </row>
    <row r="63" spans="1:20" ht="19.350000000000001" customHeight="1" x14ac:dyDescent="0.25">
      <c r="A63" s="180">
        <v>49</v>
      </c>
      <c r="B63" s="188">
        <v>951323243052</v>
      </c>
      <c r="C63" s="189" t="s">
        <v>289</v>
      </c>
      <c r="D63" s="190">
        <v>2</v>
      </c>
      <c r="E63" s="183">
        <v>2</v>
      </c>
      <c r="F63" s="183">
        <v>2</v>
      </c>
      <c r="G63" s="183">
        <v>2</v>
      </c>
      <c r="H63" s="183">
        <v>2</v>
      </c>
      <c r="I63" s="183">
        <v>7</v>
      </c>
      <c r="J63" s="183"/>
      <c r="K63" s="183"/>
      <c r="L63" s="183">
        <v>7</v>
      </c>
      <c r="M63" s="183"/>
      <c r="N63" s="183">
        <v>7</v>
      </c>
      <c r="O63" s="183">
        <v>7</v>
      </c>
      <c r="P63" s="183"/>
      <c r="Q63" s="183"/>
      <c r="R63" s="183">
        <v>12</v>
      </c>
      <c r="S63" s="183">
        <v>50</v>
      </c>
      <c r="T63" s="183">
        <v>100</v>
      </c>
    </row>
    <row r="64" spans="1:20" ht="20.100000000000001" customHeight="1" x14ac:dyDescent="0.25">
      <c r="A64" s="180">
        <v>50</v>
      </c>
      <c r="B64" s="188">
        <v>951323243053</v>
      </c>
      <c r="C64" s="189" t="s">
        <v>290</v>
      </c>
      <c r="D64" s="190">
        <v>2</v>
      </c>
      <c r="E64" s="183">
        <v>2</v>
      </c>
      <c r="F64" s="183">
        <v>2</v>
      </c>
      <c r="G64" s="183">
        <v>2</v>
      </c>
      <c r="H64" s="183">
        <v>2</v>
      </c>
      <c r="I64" s="183">
        <v>7</v>
      </c>
      <c r="J64" s="183"/>
      <c r="K64" s="183">
        <v>7</v>
      </c>
      <c r="L64" s="183"/>
      <c r="M64" s="183">
        <v>6</v>
      </c>
      <c r="N64" s="183"/>
      <c r="O64" s="183"/>
      <c r="P64" s="183">
        <v>7</v>
      </c>
      <c r="Q64" s="183">
        <v>12</v>
      </c>
      <c r="R64" s="183"/>
      <c r="S64" s="183">
        <v>49</v>
      </c>
      <c r="T64" s="183">
        <v>98</v>
      </c>
    </row>
    <row r="65" spans="1:20" ht="19.350000000000001" customHeight="1" x14ac:dyDescent="0.25">
      <c r="A65" s="180">
        <v>51</v>
      </c>
      <c r="B65" s="188">
        <v>951323243054</v>
      </c>
      <c r="C65" s="189" t="s">
        <v>291</v>
      </c>
      <c r="D65" s="190"/>
      <c r="E65" s="183"/>
      <c r="F65" s="183">
        <v>0</v>
      </c>
      <c r="G65" s="183">
        <v>2</v>
      </c>
      <c r="H65" s="183"/>
      <c r="I65" s="183"/>
      <c r="J65" s="183"/>
      <c r="K65" s="183"/>
      <c r="L65" s="183">
        <v>6</v>
      </c>
      <c r="M65" s="183"/>
      <c r="N65" s="183">
        <v>5</v>
      </c>
      <c r="O65" s="183"/>
      <c r="P65" s="183"/>
      <c r="Q65" s="183">
        <v>12</v>
      </c>
      <c r="R65" s="183"/>
      <c r="S65" s="183">
        <v>25</v>
      </c>
      <c r="T65" s="183">
        <v>50</v>
      </c>
    </row>
    <row r="66" spans="1:20" ht="19.350000000000001" customHeight="1" x14ac:dyDescent="0.25">
      <c r="A66" s="180">
        <v>52</v>
      </c>
      <c r="B66" s="188">
        <v>951323243055</v>
      </c>
      <c r="C66" s="189" t="s">
        <v>292</v>
      </c>
      <c r="D66" s="190">
        <v>1</v>
      </c>
      <c r="E66" s="183">
        <v>1</v>
      </c>
      <c r="F66" s="183">
        <v>1</v>
      </c>
      <c r="G66" s="183">
        <v>1</v>
      </c>
      <c r="H66" s="183">
        <v>1</v>
      </c>
      <c r="I66" s="183">
        <v>1</v>
      </c>
      <c r="J66" s="183"/>
      <c r="K66" s="183"/>
      <c r="L66" s="183">
        <v>1</v>
      </c>
      <c r="M66" s="183"/>
      <c r="N66" s="183">
        <v>3</v>
      </c>
      <c r="O66" s="183">
        <v>1</v>
      </c>
      <c r="P66" s="183"/>
      <c r="Q66" s="183">
        <v>7</v>
      </c>
      <c r="R66" s="183"/>
      <c r="S66" s="183">
        <v>18</v>
      </c>
      <c r="T66" s="183">
        <v>36</v>
      </c>
    </row>
    <row r="67" spans="1:20" ht="19.350000000000001" customHeight="1" x14ac:dyDescent="0.25">
      <c r="A67" s="180">
        <v>53</v>
      </c>
      <c r="B67" s="188">
        <v>951323243056</v>
      </c>
      <c r="C67" s="189" t="s">
        <v>293</v>
      </c>
      <c r="D67" s="190">
        <v>2</v>
      </c>
      <c r="E67" s="183">
        <v>2</v>
      </c>
      <c r="F67" s="183">
        <v>2</v>
      </c>
      <c r="G67" s="183">
        <v>1</v>
      </c>
      <c r="H67" s="183">
        <v>1</v>
      </c>
      <c r="I67" s="183"/>
      <c r="J67" s="183">
        <v>3</v>
      </c>
      <c r="K67" s="183"/>
      <c r="L67" s="183"/>
      <c r="M67" s="183"/>
      <c r="N67" s="183">
        <v>6</v>
      </c>
      <c r="O67" s="183"/>
      <c r="P67" s="183"/>
      <c r="Q67" s="183">
        <v>11</v>
      </c>
      <c r="R67" s="183"/>
      <c r="S67" s="183">
        <v>28</v>
      </c>
      <c r="T67" s="183">
        <v>56</v>
      </c>
    </row>
    <row r="68" spans="1:20" ht="19.350000000000001" customHeight="1" x14ac:dyDescent="0.25">
      <c r="A68" s="180">
        <v>54</v>
      </c>
      <c r="B68" s="188">
        <v>951323243057</v>
      </c>
      <c r="C68" s="189" t="s">
        <v>294</v>
      </c>
      <c r="D68" s="190"/>
      <c r="E68" s="183"/>
      <c r="F68" s="183"/>
      <c r="G68" s="183">
        <v>1</v>
      </c>
      <c r="H68" s="183">
        <v>1</v>
      </c>
      <c r="I68" s="183">
        <v>3</v>
      </c>
      <c r="J68" s="183"/>
      <c r="K68" s="183"/>
      <c r="L68" s="183">
        <v>6</v>
      </c>
      <c r="M68" s="183">
        <v>5</v>
      </c>
      <c r="N68" s="183"/>
      <c r="O68" s="183"/>
      <c r="P68" s="183">
        <v>7</v>
      </c>
      <c r="Q68" s="183">
        <v>12</v>
      </c>
      <c r="R68" s="183"/>
      <c r="S68" s="183">
        <v>35</v>
      </c>
      <c r="T68" s="183">
        <v>70</v>
      </c>
    </row>
    <row r="69" spans="1:20" ht="19.350000000000001" customHeight="1" x14ac:dyDescent="0.25">
      <c r="A69" s="180">
        <v>55</v>
      </c>
      <c r="B69" s="188">
        <v>951323243058</v>
      </c>
      <c r="C69" s="189" t="s">
        <v>295</v>
      </c>
      <c r="D69" s="190"/>
      <c r="E69" s="183"/>
      <c r="F69" s="183"/>
      <c r="G69" s="183"/>
      <c r="H69" s="183"/>
      <c r="I69" s="183"/>
      <c r="J69" s="183"/>
      <c r="K69" s="183"/>
      <c r="L69" s="183"/>
      <c r="M69" s="183"/>
      <c r="N69" s="183"/>
      <c r="O69" s="183"/>
      <c r="P69" s="183"/>
      <c r="Q69" s="183"/>
      <c r="R69" s="183">
        <v>5</v>
      </c>
      <c r="S69" s="183">
        <v>5</v>
      </c>
      <c r="T69" s="183">
        <v>10</v>
      </c>
    </row>
    <row r="70" spans="1:20" ht="20.100000000000001" customHeight="1" x14ac:dyDescent="0.25">
      <c r="A70" s="180">
        <v>56</v>
      </c>
      <c r="B70" s="188">
        <v>951323243059</v>
      </c>
      <c r="C70" s="189" t="s">
        <v>296</v>
      </c>
      <c r="D70" s="190"/>
      <c r="E70" s="183"/>
      <c r="F70" s="183"/>
      <c r="G70" s="183"/>
      <c r="H70" s="183"/>
      <c r="I70" s="183"/>
      <c r="J70" s="183"/>
      <c r="K70" s="183"/>
      <c r="L70" s="183"/>
      <c r="M70" s="183"/>
      <c r="N70" s="183"/>
      <c r="O70" s="183"/>
      <c r="P70" s="183"/>
      <c r="Q70" s="183"/>
      <c r="R70" s="183"/>
      <c r="S70" s="183"/>
      <c r="T70" s="183"/>
    </row>
    <row r="71" spans="1:20" ht="20.100000000000001" customHeight="1" x14ac:dyDescent="0.25">
      <c r="A71" s="180">
        <v>57</v>
      </c>
      <c r="B71" s="188">
        <v>951323243060</v>
      </c>
      <c r="C71" s="189" t="s">
        <v>297</v>
      </c>
      <c r="D71" s="190"/>
      <c r="E71" s="183"/>
      <c r="F71" s="183">
        <v>2</v>
      </c>
      <c r="G71" s="183"/>
      <c r="H71" s="183"/>
      <c r="I71" s="183"/>
      <c r="J71" s="183">
        <v>5</v>
      </c>
      <c r="K71" s="183"/>
      <c r="L71" s="183">
        <v>5</v>
      </c>
      <c r="M71" s="183">
        <v>6</v>
      </c>
      <c r="N71" s="183"/>
      <c r="O71" s="183"/>
      <c r="P71" s="183">
        <v>3</v>
      </c>
      <c r="Q71" s="183"/>
      <c r="R71" s="183">
        <v>11</v>
      </c>
      <c r="S71" s="183">
        <v>32</v>
      </c>
      <c r="T71" s="183">
        <v>64</v>
      </c>
    </row>
    <row r="72" spans="1:20" ht="20.100000000000001" customHeight="1" x14ac:dyDescent="0.25">
      <c r="A72" s="180"/>
      <c r="B72" s="188"/>
      <c r="C72" s="189"/>
      <c r="D72" s="190"/>
      <c r="E72" s="183"/>
      <c r="F72" s="183"/>
      <c r="G72" s="183"/>
      <c r="H72" s="183"/>
      <c r="I72" s="183"/>
      <c r="J72" s="183"/>
      <c r="K72" s="183"/>
      <c r="L72" s="183"/>
      <c r="M72" s="183"/>
      <c r="N72" s="183"/>
      <c r="O72" s="183"/>
      <c r="P72" s="183"/>
      <c r="Q72" s="183"/>
      <c r="R72" s="183"/>
      <c r="S72" s="183">
        <f>SUM(D72:R72)</f>
        <v>0</v>
      </c>
      <c r="T72" s="183">
        <f>S72*2</f>
        <v>0</v>
      </c>
    </row>
    <row r="73" spans="1:20" ht="18" customHeight="1" x14ac:dyDescent="0.25">
      <c r="A73" s="365" t="s">
        <v>215</v>
      </c>
      <c r="B73" s="365"/>
      <c r="C73" s="191" t="s">
        <v>308</v>
      </c>
      <c r="D73" s="358" t="s">
        <v>216</v>
      </c>
      <c r="E73" s="358"/>
      <c r="F73" s="358"/>
      <c r="G73" s="358"/>
      <c r="H73" s="358"/>
      <c r="I73" s="358"/>
      <c r="J73" s="358"/>
      <c r="K73" s="358"/>
      <c r="L73" s="358"/>
      <c r="M73" s="358"/>
      <c r="N73" s="358"/>
      <c r="O73" s="358"/>
      <c r="P73" s="358"/>
      <c r="Q73" s="358"/>
      <c r="R73" s="358"/>
      <c r="S73" s="366"/>
      <c r="T73" s="360"/>
    </row>
    <row r="74" spans="1:20" ht="18" customHeight="1" x14ac:dyDescent="0.25">
      <c r="A74" s="358" t="s">
        <v>217</v>
      </c>
      <c r="B74" s="358"/>
      <c r="C74" s="192">
        <v>50</v>
      </c>
      <c r="D74" s="358" t="s">
        <v>218</v>
      </c>
      <c r="E74" s="358"/>
      <c r="F74" s="358"/>
      <c r="G74" s="358"/>
      <c r="H74" s="358"/>
      <c r="I74" s="358"/>
      <c r="J74" s="358"/>
      <c r="K74" s="358"/>
      <c r="L74" s="358"/>
      <c r="M74" s="358"/>
      <c r="N74" s="358"/>
      <c r="O74" s="358"/>
      <c r="P74" s="358"/>
      <c r="Q74" s="358"/>
      <c r="R74" s="358"/>
      <c r="S74" s="359"/>
      <c r="T74" s="360"/>
    </row>
    <row r="75" spans="1:20" ht="18" customHeight="1" x14ac:dyDescent="0.25">
      <c r="A75" s="193" t="s">
        <v>219</v>
      </c>
      <c r="B75" s="193"/>
      <c r="C75" s="192">
        <v>44</v>
      </c>
      <c r="D75" s="358" t="s">
        <v>220</v>
      </c>
      <c r="E75" s="358"/>
      <c r="F75" s="358"/>
      <c r="G75" s="358"/>
      <c r="H75" s="358"/>
      <c r="I75" s="358"/>
      <c r="J75" s="358"/>
      <c r="K75" s="358"/>
      <c r="L75" s="358"/>
      <c r="M75" s="358"/>
      <c r="N75" s="358"/>
      <c r="O75" s="358"/>
      <c r="P75" s="358"/>
      <c r="Q75" s="358"/>
      <c r="R75" s="358"/>
      <c r="S75" s="359"/>
      <c r="T75" s="360"/>
    </row>
    <row r="76" spans="1:20" ht="18" customHeight="1" x14ac:dyDescent="0.25">
      <c r="A76" s="193" t="s">
        <v>221</v>
      </c>
      <c r="B76" s="193"/>
      <c r="C76" s="192">
        <f>C74-C75</f>
        <v>6</v>
      </c>
      <c r="D76" s="358" t="s">
        <v>84</v>
      </c>
      <c r="E76" s="358"/>
      <c r="F76" s="358"/>
      <c r="G76" s="358"/>
      <c r="H76" s="358"/>
      <c r="I76" s="358"/>
      <c r="J76" s="358"/>
      <c r="K76" s="358"/>
      <c r="L76" s="358"/>
      <c r="M76" s="358"/>
      <c r="N76" s="358"/>
      <c r="O76" s="358"/>
      <c r="P76" s="358"/>
      <c r="Q76" s="358"/>
      <c r="R76" s="358"/>
      <c r="S76" s="359"/>
      <c r="T76" s="360"/>
    </row>
    <row r="77" spans="1:20" ht="18" customHeight="1" x14ac:dyDescent="0.25">
      <c r="A77" s="193" t="s">
        <v>222</v>
      </c>
      <c r="B77" s="193"/>
      <c r="C77" s="236">
        <f>C75/C74</f>
        <v>0.88</v>
      </c>
      <c r="D77" s="358" t="s">
        <v>85</v>
      </c>
      <c r="E77" s="358"/>
      <c r="F77" s="358"/>
      <c r="G77" s="358"/>
      <c r="H77" s="358"/>
      <c r="I77" s="358"/>
      <c r="J77" s="358"/>
      <c r="K77" s="358"/>
      <c r="L77" s="358"/>
      <c r="M77" s="358"/>
      <c r="N77" s="358"/>
      <c r="O77" s="358"/>
      <c r="P77" s="358"/>
      <c r="Q77" s="358"/>
      <c r="R77" s="358"/>
      <c r="S77" s="359"/>
      <c r="T77" s="360"/>
    </row>
  </sheetData>
  <mergeCells count="27">
    <mergeCell ref="A8:T8"/>
    <mergeCell ref="A2:T2"/>
    <mergeCell ref="A3:T3"/>
    <mergeCell ref="A4:T4"/>
    <mergeCell ref="A6:T6"/>
    <mergeCell ref="A7:T7"/>
    <mergeCell ref="A74:B74"/>
    <mergeCell ref="D74:R74"/>
    <mergeCell ref="S74:T74"/>
    <mergeCell ref="A10:J10"/>
    <mergeCell ref="A11:J11"/>
    <mergeCell ref="A13:A14"/>
    <mergeCell ref="B13:B14"/>
    <mergeCell ref="C13:C14"/>
    <mergeCell ref="D13:H13"/>
    <mergeCell ref="I13:R13"/>
    <mergeCell ref="S13:S14"/>
    <mergeCell ref="T13:T14"/>
    <mergeCell ref="A73:B73"/>
    <mergeCell ref="D73:R73"/>
    <mergeCell ref="S73:T73"/>
    <mergeCell ref="D75:R75"/>
    <mergeCell ref="S75:T75"/>
    <mergeCell ref="D76:R76"/>
    <mergeCell ref="S76:T76"/>
    <mergeCell ref="D77:R77"/>
    <mergeCell ref="S77:T77"/>
  </mergeCells>
  <printOptions horizontalCentered="1"/>
  <pageMargins left="0.15763888888888899" right="0.15763888888888899" top="0.86597222222222203" bottom="0.35416666666666702" header="0.51180555555555496" footer="0.51180555555555496"/>
  <pageSetup paperSize="9" scale="90" firstPageNumber="0" orientation="landscape"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77"/>
  <sheetViews>
    <sheetView workbookViewId="0">
      <selection activeCell="C76" sqref="C76"/>
    </sheetView>
  </sheetViews>
  <sheetFormatPr defaultColWidth="9.140625" defaultRowHeight="15" x14ac:dyDescent="0.25"/>
  <cols>
    <col min="1" max="1" width="6.5703125" style="172" customWidth="1"/>
    <col min="2" max="2" width="18.140625" style="172" customWidth="1"/>
    <col min="3" max="3" width="27.28515625" style="172" customWidth="1"/>
    <col min="4" max="18" width="4.7109375" style="172" customWidth="1"/>
    <col min="19" max="20" width="6.5703125" style="172" customWidth="1"/>
    <col min="21" max="1025" width="8.5703125" style="172" customWidth="1"/>
    <col min="1026" max="16384" width="9.140625" style="172"/>
  </cols>
  <sheetData>
    <row r="1" spans="1:20" x14ac:dyDescent="0.25">
      <c r="S1" s="173"/>
      <c r="T1" s="173"/>
    </row>
    <row r="2" spans="1:20" x14ac:dyDescent="0.25">
      <c r="A2" s="367" t="str">
        <f>'BL-1'!A1:L1</f>
        <v>JAYARAJ ANNAPACKIAM C. S. I. COLLEGE OF ENGINEERING</v>
      </c>
      <c r="B2" s="367"/>
      <c r="C2" s="367"/>
      <c r="D2" s="367"/>
      <c r="E2" s="367"/>
      <c r="F2" s="367"/>
      <c r="G2" s="367"/>
      <c r="H2" s="367"/>
      <c r="I2" s="367"/>
      <c r="J2" s="367"/>
      <c r="K2" s="367"/>
      <c r="L2" s="367"/>
      <c r="M2" s="367"/>
      <c r="N2" s="367"/>
      <c r="O2" s="367"/>
      <c r="P2" s="367"/>
      <c r="Q2" s="367"/>
      <c r="R2" s="367"/>
      <c r="S2" s="367"/>
      <c r="T2" s="367"/>
    </row>
    <row r="3" spans="1:20" x14ac:dyDescent="0.25">
      <c r="A3" s="367" t="str">
        <f>'BL-1'!A2:L2</f>
        <v>(Approved by AICTE, New Delhi and Affiliated to Anna University)</v>
      </c>
      <c r="B3" s="367"/>
      <c r="C3" s="367"/>
      <c r="D3" s="367"/>
      <c r="E3" s="367"/>
      <c r="F3" s="367"/>
      <c r="G3" s="367"/>
      <c r="H3" s="367"/>
      <c r="I3" s="367"/>
      <c r="J3" s="367"/>
      <c r="K3" s="367"/>
      <c r="L3" s="367"/>
      <c r="M3" s="367"/>
      <c r="N3" s="367"/>
      <c r="O3" s="367"/>
      <c r="P3" s="367"/>
      <c r="Q3" s="367"/>
      <c r="R3" s="367"/>
      <c r="S3" s="367"/>
      <c r="T3" s="367"/>
    </row>
    <row r="4" spans="1:20" x14ac:dyDescent="0.25">
      <c r="A4" s="367" t="str">
        <f>'BL-1'!A3:L3</f>
        <v>MARGOSCHIS NAGAR, NAZARETH - 628 617</v>
      </c>
      <c r="B4" s="367"/>
      <c r="C4" s="367"/>
      <c r="D4" s="367"/>
      <c r="E4" s="367"/>
      <c r="F4" s="367"/>
      <c r="G4" s="367"/>
      <c r="H4" s="367"/>
      <c r="I4" s="367"/>
      <c r="J4" s="367"/>
      <c r="K4" s="367"/>
      <c r="L4" s="367"/>
      <c r="M4" s="367"/>
      <c r="N4" s="367"/>
      <c r="O4" s="367"/>
      <c r="P4" s="367"/>
      <c r="Q4" s="367"/>
      <c r="R4" s="367"/>
      <c r="S4" s="367"/>
      <c r="T4" s="367"/>
    </row>
    <row r="6" spans="1:20" x14ac:dyDescent="0.25">
      <c r="A6" s="367" t="str">
        <f>'BL-1'!A4:L4</f>
        <v>DEPARTMENT OF ARTIFICIAL INTELLIGENCE AND DATA SCIENCE</v>
      </c>
      <c r="B6" s="367"/>
      <c r="C6" s="367"/>
      <c r="D6" s="367"/>
      <c r="E6" s="367"/>
      <c r="F6" s="367"/>
      <c r="G6" s="367"/>
      <c r="H6" s="367"/>
      <c r="I6" s="367"/>
      <c r="J6" s="367"/>
      <c r="K6" s="367"/>
      <c r="L6" s="367"/>
      <c r="M6" s="367"/>
      <c r="N6" s="367"/>
      <c r="O6" s="367"/>
      <c r="P6" s="367"/>
      <c r="Q6" s="367"/>
      <c r="R6" s="367"/>
      <c r="S6" s="367"/>
      <c r="T6" s="367"/>
    </row>
    <row r="7" spans="1:20" x14ac:dyDescent="0.25">
      <c r="A7" s="367" t="s">
        <v>195</v>
      </c>
      <c r="B7" s="367"/>
      <c r="C7" s="367"/>
      <c r="D7" s="367"/>
      <c r="E7" s="367"/>
      <c r="F7" s="367"/>
      <c r="G7" s="367"/>
      <c r="H7" s="367"/>
      <c r="I7" s="367"/>
      <c r="J7" s="367"/>
      <c r="K7" s="367"/>
      <c r="L7" s="367"/>
      <c r="M7" s="367"/>
      <c r="N7" s="367"/>
      <c r="O7" s="367"/>
      <c r="P7" s="367"/>
      <c r="Q7" s="367"/>
      <c r="R7" s="367"/>
      <c r="S7" s="367"/>
      <c r="T7" s="367"/>
    </row>
    <row r="8" spans="1:20" x14ac:dyDescent="0.25">
      <c r="A8" s="367" t="s">
        <v>328</v>
      </c>
      <c r="B8" s="367"/>
      <c r="C8" s="367"/>
      <c r="D8" s="367"/>
      <c r="E8" s="367"/>
      <c r="F8" s="367"/>
      <c r="G8" s="367"/>
      <c r="H8" s="367"/>
      <c r="I8" s="367"/>
      <c r="J8" s="367"/>
      <c r="K8" s="367"/>
      <c r="L8" s="367"/>
      <c r="M8" s="367"/>
      <c r="N8" s="367"/>
      <c r="O8" s="367"/>
      <c r="P8" s="367"/>
      <c r="Q8" s="367"/>
      <c r="R8" s="367"/>
      <c r="S8" s="367"/>
      <c r="T8" s="367"/>
    </row>
    <row r="9" spans="1:20" x14ac:dyDescent="0.25">
      <c r="A9" s="174"/>
      <c r="B9" s="174"/>
      <c r="C9" s="174"/>
      <c r="D9" s="174"/>
      <c r="E9" s="174"/>
      <c r="F9" s="174"/>
      <c r="G9" s="174"/>
      <c r="H9" s="174"/>
      <c r="I9" s="174"/>
      <c r="J9" s="174"/>
      <c r="K9" s="174"/>
      <c r="L9" s="174"/>
      <c r="M9" s="174"/>
      <c r="N9" s="174"/>
      <c r="O9" s="174"/>
      <c r="P9" s="174"/>
      <c r="Q9" s="174"/>
      <c r="R9" s="174"/>
      <c r="S9" s="174"/>
      <c r="T9" s="174"/>
    </row>
    <row r="10" spans="1:20" x14ac:dyDescent="0.25">
      <c r="A10" s="361" t="str">
        <f>'I1'!A10:J10</f>
        <v>COURSE CODE / NAME: CW3551 DATA AND INFORMATION SECURITY</v>
      </c>
      <c r="B10" s="361"/>
      <c r="C10" s="361"/>
      <c r="D10" s="361"/>
      <c r="E10" s="361"/>
      <c r="F10" s="361"/>
      <c r="G10" s="361"/>
      <c r="H10" s="361"/>
      <c r="I10" s="361"/>
      <c r="J10" s="361"/>
      <c r="K10" s="175"/>
      <c r="L10" s="176" t="s">
        <v>196</v>
      </c>
      <c r="M10" s="176"/>
      <c r="N10" s="176" t="str">
        <f>'I1'!N10</f>
        <v>2023-27</v>
      </c>
      <c r="O10" s="176"/>
      <c r="R10" s="176"/>
      <c r="S10" s="176" t="s">
        <v>197</v>
      </c>
      <c r="T10" s="176">
        <f>'I1'!T10</f>
        <v>5</v>
      </c>
    </row>
    <row r="11" spans="1:20" x14ac:dyDescent="0.25">
      <c r="A11" s="361" t="str">
        <f>'BL-1'!A9:H9</f>
        <v>COURSE INSTRUCTOR/DESIGNATION: G. ALISHA EVANGELINE,AP/ADS</v>
      </c>
      <c r="B11" s="361"/>
      <c r="C11" s="361"/>
      <c r="D11" s="361"/>
      <c r="E11" s="361"/>
      <c r="F11" s="361"/>
      <c r="G11" s="361"/>
      <c r="H11" s="361"/>
      <c r="I11" s="361"/>
      <c r="J11" s="361"/>
      <c r="K11" s="175"/>
      <c r="L11" s="176" t="s">
        <v>198</v>
      </c>
      <c r="M11" s="176"/>
      <c r="N11" s="176" t="str">
        <f>'I1'!N11</f>
        <v>III ADS</v>
      </c>
      <c r="O11" s="173"/>
      <c r="Q11" s="173"/>
      <c r="R11" s="173"/>
      <c r="S11" s="173"/>
    </row>
    <row r="12" spans="1:20" x14ac:dyDescent="0.25">
      <c r="L12" s="177"/>
      <c r="M12" s="177"/>
      <c r="N12" s="177"/>
      <c r="O12" s="177"/>
      <c r="P12" s="177"/>
      <c r="Q12" s="177"/>
      <c r="R12" s="177"/>
      <c r="S12" s="177"/>
      <c r="T12" s="178"/>
    </row>
    <row r="13" spans="1:20" ht="18" customHeight="1" x14ac:dyDescent="0.25">
      <c r="A13" s="362" t="s">
        <v>199</v>
      </c>
      <c r="B13" s="362" t="s">
        <v>200</v>
      </c>
      <c r="C13" s="362" t="s">
        <v>8</v>
      </c>
      <c r="D13" s="363" t="s">
        <v>201</v>
      </c>
      <c r="E13" s="363"/>
      <c r="F13" s="363"/>
      <c r="G13" s="363"/>
      <c r="H13" s="363"/>
      <c r="I13" s="363" t="s">
        <v>202</v>
      </c>
      <c r="J13" s="363"/>
      <c r="K13" s="363"/>
      <c r="L13" s="363"/>
      <c r="M13" s="363"/>
      <c r="N13" s="363"/>
      <c r="O13" s="363"/>
      <c r="P13" s="363"/>
      <c r="Q13" s="363"/>
      <c r="R13" s="363"/>
      <c r="S13" s="364" t="s">
        <v>203</v>
      </c>
      <c r="T13" s="364" t="s">
        <v>204</v>
      </c>
    </row>
    <row r="14" spans="1:20" ht="19.350000000000001" customHeight="1" x14ac:dyDescent="0.25">
      <c r="A14" s="362"/>
      <c r="B14" s="362"/>
      <c r="C14" s="362"/>
      <c r="D14" s="179">
        <v>1</v>
      </c>
      <c r="E14" s="179">
        <v>2</v>
      </c>
      <c r="F14" s="179">
        <v>3</v>
      </c>
      <c r="G14" s="179">
        <v>4</v>
      </c>
      <c r="H14" s="179">
        <v>5</v>
      </c>
      <c r="I14" s="179" t="s">
        <v>205</v>
      </c>
      <c r="J14" s="179" t="s">
        <v>206</v>
      </c>
      <c r="K14" s="179" t="s">
        <v>207</v>
      </c>
      <c r="L14" s="179" t="s">
        <v>208</v>
      </c>
      <c r="M14" s="179" t="s">
        <v>209</v>
      </c>
      <c r="N14" s="179" t="s">
        <v>210</v>
      </c>
      <c r="O14" s="179" t="s">
        <v>211</v>
      </c>
      <c r="P14" s="179" t="s">
        <v>212</v>
      </c>
      <c r="Q14" s="179" t="s">
        <v>213</v>
      </c>
      <c r="R14" s="179" t="s">
        <v>214</v>
      </c>
      <c r="S14" s="364"/>
      <c r="T14" s="364"/>
    </row>
    <row r="15" spans="1:20" ht="19.350000000000001" customHeight="1" x14ac:dyDescent="0.25">
      <c r="A15" s="180">
        <v>1</v>
      </c>
      <c r="B15" s="181">
        <f>'I1'!B15</f>
        <v>951323243001</v>
      </c>
      <c r="C15" s="182" t="str">
        <f>'I1'!C15</f>
        <v>ABINAYA S</v>
      </c>
      <c r="D15" s="183">
        <v>2</v>
      </c>
      <c r="E15" s="183">
        <v>1</v>
      </c>
      <c r="F15" s="183"/>
      <c r="G15" s="183">
        <v>1</v>
      </c>
      <c r="H15" s="183"/>
      <c r="I15" s="183">
        <v>6</v>
      </c>
      <c r="J15" s="183"/>
      <c r="K15" s="183"/>
      <c r="L15" s="183">
        <v>5</v>
      </c>
      <c r="M15" s="183"/>
      <c r="N15" s="183"/>
      <c r="O15" s="183"/>
      <c r="P15" s="183"/>
      <c r="Q15" s="183">
        <v>11</v>
      </c>
      <c r="R15" s="183"/>
      <c r="S15" s="183">
        <v>26</v>
      </c>
      <c r="T15" s="183">
        <v>52</v>
      </c>
    </row>
    <row r="16" spans="1:20" ht="19.350000000000001" customHeight="1" x14ac:dyDescent="0.25">
      <c r="A16" s="180">
        <v>2</v>
      </c>
      <c r="B16" s="181">
        <f>'I1'!B16</f>
        <v>951323243002</v>
      </c>
      <c r="C16" s="182" t="str">
        <f>'I1'!C16</f>
        <v>ABISHEK S</v>
      </c>
      <c r="D16" s="183"/>
      <c r="E16" s="183"/>
      <c r="F16" s="183"/>
      <c r="G16" s="183"/>
      <c r="H16" s="183"/>
      <c r="I16" s="183"/>
      <c r="J16" s="183"/>
      <c r="K16" s="183"/>
      <c r="L16" s="183"/>
      <c r="M16" s="183"/>
      <c r="N16" s="183"/>
      <c r="O16" s="183"/>
      <c r="P16" s="183"/>
      <c r="Q16" s="183"/>
      <c r="R16" s="183"/>
      <c r="S16" s="183"/>
      <c r="T16" s="183" t="s">
        <v>309</v>
      </c>
    </row>
    <row r="17" spans="1:20" ht="19.350000000000001" customHeight="1" x14ac:dyDescent="0.25">
      <c r="A17" s="180">
        <v>3</v>
      </c>
      <c r="B17" s="181">
        <f>'I1'!B17</f>
        <v>951323243003</v>
      </c>
      <c r="C17" s="182" t="str">
        <f>'I1'!C17</f>
        <v>AJEETHA S</v>
      </c>
      <c r="D17" s="183"/>
      <c r="E17" s="183"/>
      <c r="F17" s="183"/>
      <c r="G17" s="183"/>
      <c r="H17" s="183"/>
      <c r="I17" s="183"/>
      <c r="J17" s="183"/>
      <c r="K17" s="183"/>
      <c r="L17" s="183"/>
      <c r="M17" s="183"/>
      <c r="N17" s="183"/>
      <c r="O17" s="183"/>
      <c r="P17" s="183"/>
      <c r="Q17" s="183"/>
      <c r="R17" s="183"/>
      <c r="S17" s="183"/>
      <c r="T17" s="183" t="s">
        <v>309</v>
      </c>
    </row>
    <row r="18" spans="1:20" ht="19.350000000000001" customHeight="1" x14ac:dyDescent="0.25">
      <c r="A18" s="180">
        <v>4</v>
      </c>
      <c r="B18" s="181">
        <f>'I1'!B18</f>
        <v>951323243004</v>
      </c>
      <c r="C18" s="182" t="str">
        <f>'I1'!C18</f>
        <v>AJIM FAYAZ K M S</v>
      </c>
      <c r="D18" s="183">
        <v>2</v>
      </c>
      <c r="E18" s="183">
        <v>2</v>
      </c>
      <c r="F18" s="183">
        <v>2</v>
      </c>
      <c r="G18" s="183">
        <v>2</v>
      </c>
      <c r="H18" s="183">
        <v>2</v>
      </c>
      <c r="I18" s="183"/>
      <c r="J18" s="183"/>
      <c r="K18" s="183"/>
      <c r="L18" s="183"/>
      <c r="M18" s="183"/>
      <c r="N18" s="183"/>
      <c r="O18" s="183">
        <v>4</v>
      </c>
      <c r="P18" s="183"/>
      <c r="Q18" s="183"/>
      <c r="R18" s="183"/>
      <c r="S18" s="183">
        <v>14</v>
      </c>
      <c r="T18" s="183">
        <v>28</v>
      </c>
    </row>
    <row r="19" spans="1:20" ht="19.350000000000001" customHeight="1" x14ac:dyDescent="0.25">
      <c r="A19" s="180">
        <v>5</v>
      </c>
      <c r="B19" s="181">
        <f>'I1'!B19</f>
        <v>951323243005</v>
      </c>
      <c r="C19" s="182" t="str">
        <f>'I1'!C19</f>
        <v>ALPHONES CRUZ NAVEEN J</v>
      </c>
      <c r="D19" s="183">
        <v>1</v>
      </c>
      <c r="E19" s="183">
        <v>2</v>
      </c>
      <c r="F19" s="183">
        <v>2</v>
      </c>
      <c r="G19" s="183">
        <v>2</v>
      </c>
      <c r="H19" s="183">
        <v>1</v>
      </c>
      <c r="I19" s="183">
        <v>6</v>
      </c>
      <c r="J19" s="183"/>
      <c r="K19" s="183"/>
      <c r="L19" s="183"/>
      <c r="M19" s="183"/>
      <c r="N19" s="183"/>
      <c r="O19" s="183"/>
      <c r="P19" s="183"/>
      <c r="Q19" s="183"/>
      <c r="R19" s="183"/>
      <c r="S19" s="183">
        <v>14</v>
      </c>
      <c r="T19" s="183">
        <v>28</v>
      </c>
    </row>
    <row r="20" spans="1:20" ht="19.350000000000001" customHeight="1" x14ac:dyDescent="0.25">
      <c r="A20" s="180">
        <v>6</v>
      </c>
      <c r="B20" s="181">
        <f>'I1'!B20</f>
        <v>951323243006</v>
      </c>
      <c r="C20" s="182" t="str">
        <f>'I1'!C20</f>
        <v>ANGEL AGNES D</v>
      </c>
      <c r="D20" s="183">
        <v>2</v>
      </c>
      <c r="E20" s="183">
        <v>1</v>
      </c>
      <c r="F20" s="183">
        <v>2</v>
      </c>
      <c r="G20" s="183">
        <v>2</v>
      </c>
      <c r="H20" s="183">
        <v>1</v>
      </c>
      <c r="I20" s="183">
        <v>7</v>
      </c>
      <c r="J20" s="183"/>
      <c r="K20" s="183">
        <v>6</v>
      </c>
      <c r="L20" s="183"/>
      <c r="M20" s="183"/>
      <c r="N20" s="183">
        <v>5</v>
      </c>
      <c r="O20" s="183"/>
      <c r="P20" s="183">
        <v>6</v>
      </c>
      <c r="Q20" s="183">
        <v>11</v>
      </c>
      <c r="R20" s="183"/>
      <c r="S20" s="183">
        <v>43</v>
      </c>
      <c r="T20" s="183">
        <v>86</v>
      </c>
    </row>
    <row r="21" spans="1:20" ht="19.350000000000001" customHeight="1" x14ac:dyDescent="0.25">
      <c r="A21" s="180">
        <v>7</v>
      </c>
      <c r="B21" s="181">
        <f>'I1'!B21</f>
        <v>951323243007</v>
      </c>
      <c r="C21" s="182" t="str">
        <f>'I1'!C21</f>
        <v>ANUSHA P</v>
      </c>
      <c r="D21" s="183">
        <v>2</v>
      </c>
      <c r="E21" s="183">
        <v>1</v>
      </c>
      <c r="F21" s="183">
        <v>2</v>
      </c>
      <c r="G21" s="183">
        <v>2</v>
      </c>
      <c r="H21" s="183">
        <v>2</v>
      </c>
      <c r="I21" s="183">
        <v>7</v>
      </c>
      <c r="J21" s="183"/>
      <c r="K21" s="183"/>
      <c r="L21" s="183">
        <v>7</v>
      </c>
      <c r="M21" s="183"/>
      <c r="N21" s="183">
        <v>7</v>
      </c>
      <c r="O21" s="183">
        <v>7</v>
      </c>
      <c r="P21" s="183"/>
      <c r="Q21" s="183">
        <v>12</v>
      </c>
      <c r="R21" s="183"/>
      <c r="S21" s="183">
        <v>49</v>
      </c>
      <c r="T21" s="183">
        <v>98</v>
      </c>
    </row>
    <row r="22" spans="1:20" ht="19.350000000000001" customHeight="1" x14ac:dyDescent="0.25">
      <c r="A22" s="180">
        <v>8</v>
      </c>
      <c r="B22" s="181">
        <f>'I1'!B22</f>
        <v>951323243008</v>
      </c>
      <c r="C22" s="182" t="str">
        <f>'I1'!C22</f>
        <v>ARIBA M</v>
      </c>
      <c r="D22" s="183">
        <v>1</v>
      </c>
      <c r="E22" s="183"/>
      <c r="F22" s="183"/>
      <c r="G22" s="183">
        <v>1</v>
      </c>
      <c r="H22" s="183">
        <v>1</v>
      </c>
      <c r="I22" s="183">
        <v>5</v>
      </c>
      <c r="J22" s="183"/>
      <c r="K22" s="183"/>
      <c r="L22" s="183">
        <v>7</v>
      </c>
      <c r="M22" s="183"/>
      <c r="N22" s="183"/>
      <c r="O22" s="183">
        <v>7</v>
      </c>
      <c r="P22" s="183"/>
      <c r="Q22" s="183">
        <v>12</v>
      </c>
      <c r="R22" s="183"/>
      <c r="S22" s="183">
        <v>34</v>
      </c>
      <c r="T22" s="183">
        <v>68</v>
      </c>
    </row>
    <row r="23" spans="1:20" ht="19.350000000000001" customHeight="1" x14ac:dyDescent="0.25">
      <c r="A23" s="180">
        <v>9</v>
      </c>
      <c r="B23" s="181">
        <f>'I1'!B23</f>
        <v>951323243009</v>
      </c>
      <c r="C23" s="182" t="str">
        <f>'I1'!C23</f>
        <v>BALADHARSHINI S</v>
      </c>
      <c r="D23" s="183">
        <v>1</v>
      </c>
      <c r="E23" s="183">
        <v>1</v>
      </c>
      <c r="F23" s="183">
        <v>2</v>
      </c>
      <c r="G23" s="183">
        <v>2</v>
      </c>
      <c r="H23" s="183">
        <v>1</v>
      </c>
      <c r="I23" s="183">
        <v>6</v>
      </c>
      <c r="J23" s="183"/>
      <c r="K23" s="183">
        <v>6</v>
      </c>
      <c r="L23" s="183"/>
      <c r="M23" s="183"/>
      <c r="N23" s="183">
        <v>6</v>
      </c>
      <c r="O23" s="183">
        <v>6</v>
      </c>
      <c r="P23" s="183"/>
      <c r="Q23" s="183">
        <v>11</v>
      </c>
      <c r="R23" s="183"/>
      <c r="S23" s="183">
        <v>42</v>
      </c>
      <c r="T23" s="183">
        <v>84</v>
      </c>
    </row>
    <row r="24" spans="1:20" ht="19.350000000000001" customHeight="1" x14ac:dyDescent="0.25">
      <c r="A24" s="180">
        <v>10</v>
      </c>
      <c r="B24" s="181">
        <f>'I1'!B24</f>
        <v>951323243010</v>
      </c>
      <c r="C24" s="182" t="str">
        <f>'I1'!C24</f>
        <v>BALASANKAR AYYAPPAN M</v>
      </c>
      <c r="D24" s="183">
        <v>2</v>
      </c>
      <c r="E24" s="183">
        <v>2</v>
      </c>
      <c r="F24" s="183">
        <v>1</v>
      </c>
      <c r="G24" s="183">
        <v>2</v>
      </c>
      <c r="H24" s="183">
        <v>2</v>
      </c>
      <c r="I24" s="183">
        <v>4</v>
      </c>
      <c r="J24" s="183"/>
      <c r="K24" s="183"/>
      <c r="L24" s="183">
        <v>2</v>
      </c>
      <c r="M24" s="183">
        <v>6</v>
      </c>
      <c r="N24" s="183"/>
      <c r="O24" s="183">
        <v>7</v>
      </c>
      <c r="P24" s="183"/>
      <c r="Q24" s="183"/>
      <c r="R24" s="183">
        <v>11</v>
      </c>
      <c r="S24" s="183">
        <v>39</v>
      </c>
      <c r="T24" s="183">
        <v>78</v>
      </c>
    </row>
    <row r="25" spans="1:20" ht="19.350000000000001" customHeight="1" x14ac:dyDescent="0.25">
      <c r="A25" s="180">
        <v>11</v>
      </c>
      <c r="B25" s="181">
        <f>'I1'!B25</f>
        <v>951323243011</v>
      </c>
      <c r="C25" s="182" t="str">
        <f>'I1'!C25</f>
        <v>BALA SRI RAM G</v>
      </c>
      <c r="D25" s="183">
        <v>2</v>
      </c>
      <c r="E25" s="183">
        <v>1</v>
      </c>
      <c r="F25" s="183">
        <v>2</v>
      </c>
      <c r="G25" s="183">
        <v>1</v>
      </c>
      <c r="H25" s="183">
        <v>2</v>
      </c>
      <c r="I25" s="183"/>
      <c r="J25" s="183"/>
      <c r="K25" s="183"/>
      <c r="L25" s="183"/>
      <c r="M25" s="183"/>
      <c r="N25" s="183"/>
      <c r="O25" s="183"/>
      <c r="P25" s="183"/>
      <c r="Q25" s="183">
        <v>11</v>
      </c>
      <c r="R25" s="183"/>
      <c r="S25" s="183">
        <v>21</v>
      </c>
      <c r="T25" s="183">
        <v>42</v>
      </c>
    </row>
    <row r="26" spans="1:20" ht="19.350000000000001" customHeight="1" x14ac:dyDescent="0.25">
      <c r="A26" s="180">
        <v>12</v>
      </c>
      <c r="B26" s="181">
        <f>'I1'!B26</f>
        <v>951323243012</v>
      </c>
      <c r="C26" s="182" t="str">
        <f>'I1'!C26</f>
        <v>BENJAMINE FRANKLIN C</v>
      </c>
      <c r="D26" s="183">
        <v>2</v>
      </c>
      <c r="E26" s="183">
        <v>2</v>
      </c>
      <c r="F26" s="183">
        <v>1</v>
      </c>
      <c r="G26" s="183">
        <v>2</v>
      </c>
      <c r="H26" s="183">
        <v>2</v>
      </c>
      <c r="I26" s="183"/>
      <c r="J26" s="183"/>
      <c r="K26" s="183"/>
      <c r="L26" s="183">
        <v>2</v>
      </c>
      <c r="M26" s="183"/>
      <c r="N26" s="183"/>
      <c r="O26" s="183">
        <v>6</v>
      </c>
      <c r="P26" s="183"/>
      <c r="Q26" s="183"/>
      <c r="R26" s="183">
        <v>10</v>
      </c>
      <c r="S26" s="183">
        <v>27</v>
      </c>
      <c r="T26" s="183">
        <v>54</v>
      </c>
    </row>
    <row r="27" spans="1:20" ht="19.350000000000001" customHeight="1" x14ac:dyDescent="0.25">
      <c r="A27" s="180">
        <v>13</v>
      </c>
      <c r="B27" s="181">
        <f>'I1'!B27</f>
        <v>951323243013</v>
      </c>
      <c r="C27" s="182" t="str">
        <f>'I1'!C27</f>
        <v>CATHRINE R</v>
      </c>
      <c r="D27" s="183">
        <v>1</v>
      </c>
      <c r="E27" s="183">
        <v>1</v>
      </c>
      <c r="F27" s="183">
        <v>1</v>
      </c>
      <c r="G27" s="183">
        <v>1</v>
      </c>
      <c r="H27" s="183">
        <v>1</v>
      </c>
      <c r="I27" s="183">
        <v>6</v>
      </c>
      <c r="J27" s="183"/>
      <c r="K27" s="183">
        <v>6</v>
      </c>
      <c r="L27" s="183"/>
      <c r="M27" s="183"/>
      <c r="N27" s="183">
        <v>7</v>
      </c>
      <c r="O27" s="183">
        <v>2</v>
      </c>
      <c r="P27" s="183"/>
      <c r="Q27" s="183">
        <v>10</v>
      </c>
      <c r="R27" s="183"/>
      <c r="S27" s="183">
        <v>36</v>
      </c>
      <c r="T27" s="183">
        <v>72</v>
      </c>
    </row>
    <row r="28" spans="1:20" ht="19.350000000000001" customHeight="1" x14ac:dyDescent="0.25">
      <c r="A28" s="180">
        <v>14</v>
      </c>
      <c r="B28" s="181">
        <f>'I1'!B28</f>
        <v>951323243014</v>
      </c>
      <c r="C28" s="182" t="str">
        <f>'I1'!C28</f>
        <v>CHENGALESWARI K</v>
      </c>
      <c r="D28" s="183">
        <v>2</v>
      </c>
      <c r="E28" s="183">
        <v>2</v>
      </c>
      <c r="F28" s="183">
        <v>2</v>
      </c>
      <c r="G28" s="183">
        <v>2</v>
      </c>
      <c r="H28" s="183">
        <v>2</v>
      </c>
      <c r="I28" s="183">
        <v>7</v>
      </c>
      <c r="J28" s="183"/>
      <c r="K28" s="183"/>
      <c r="L28" s="183">
        <v>7</v>
      </c>
      <c r="M28" s="183"/>
      <c r="N28" s="183">
        <v>7</v>
      </c>
      <c r="O28" s="183">
        <v>7</v>
      </c>
      <c r="P28" s="183"/>
      <c r="Q28" s="183">
        <v>12</v>
      </c>
      <c r="R28" s="183"/>
      <c r="S28" s="183">
        <v>50</v>
      </c>
      <c r="T28" s="183">
        <v>100</v>
      </c>
    </row>
    <row r="29" spans="1:20" ht="19.350000000000001" customHeight="1" x14ac:dyDescent="0.25">
      <c r="A29" s="180">
        <v>15</v>
      </c>
      <c r="B29" s="181">
        <f>'I1'!B29</f>
        <v>951323243015</v>
      </c>
      <c r="C29" s="182" t="str">
        <f>'I1'!C29</f>
        <v>DEVI L</v>
      </c>
      <c r="D29" s="183"/>
      <c r="E29" s="183"/>
      <c r="F29" s="183"/>
      <c r="G29" s="183">
        <v>1</v>
      </c>
      <c r="H29" s="183">
        <v>1</v>
      </c>
      <c r="I29" s="183">
        <v>6</v>
      </c>
      <c r="J29" s="183"/>
      <c r="K29" s="183"/>
      <c r="L29" s="183"/>
      <c r="M29" s="183"/>
      <c r="N29" s="183"/>
      <c r="O29" s="183">
        <v>5</v>
      </c>
      <c r="P29" s="183"/>
      <c r="Q29" s="183">
        <v>12</v>
      </c>
      <c r="R29" s="183"/>
      <c r="S29" s="183">
        <v>25</v>
      </c>
      <c r="T29" s="183">
        <v>50</v>
      </c>
    </row>
    <row r="30" spans="1:20" ht="19.350000000000001" customHeight="1" x14ac:dyDescent="0.25">
      <c r="A30" s="180">
        <v>16</v>
      </c>
      <c r="B30" s="181">
        <f>'I1'!B30</f>
        <v>951323243016</v>
      </c>
      <c r="C30" s="182" t="str">
        <f>'I1'!C30</f>
        <v>DHARUN S</v>
      </c>
      <c r="D30" s="183"/>
      <c r="E30" s="183"/>
      <c r="F30" s="183"/>
      <c r="G30" s="183"/>
      <c r="H30" s="183"/>
      <c r="I30" s="183"/>
      <c r="J30" s="183"/>
      <c r="K30" s="183"/>
      <c r="L30" s="183"/>
      <c r="M30" s="183"/>
      <c r="N30" s="183"/>
      <c r="O30" s="183"/>
      <c r="P30" s="183"/>
      <c r="Q30" s="183"/>
      <c r="R30" s="183"/>
      <c r="S30" s="183"/>
      <c r="T30" s="183" t="s">
        <v>309</v>
      </c>
    </row>
    <row r="31" spans="1:20" ht="19.350000000000001" customHeight="1" x14ac:dyDescent="0.25">
      <c r="A31" s="180">
        <v>17</v>
      </c>
      <c r="B31" s="181">
        <f>'I1'!B31</f>
        <v>951323243017</v>
      </c>
      <c r="C31" s="182" t="str">
        <f>'I1'!C31</f>
        <v>EAKANTHALINGAM R</v>
      </c>
      <c r="D31" s="183">
        <v>2</v>
      </c>
      <c r="E31" s="183">
        <v>1</v>
      </c>
      <c r="F31" s="183">
        <v>2</v>
      </c>
      <c r="G31" s="183">
        <v>1</v>
      </c>
      <c r="H31" s="183">
        <v>2</v>
      </c>
      <c r="I31" s="183"/>
      <c r="J31" s="183"/>
      <c r="K31" s="183"/>
      <c r="L31" s="183">
        <v>1</v>
      </c>
      <c r="M31" s="183"/>
      <c r="N31" s="183"/>
      <c r="O31" s="183">
        <v>3</v>
      </c>
      <c r="P31" s="183"/>
      <c r="Q31" s="183"/>
      <c r="R31" s="183">
        <v>8</v>
      </c>
      <c r="S31" s="183">
        <v>20</v>
      </c>
      <c r="T31" s="183">
        <v>40</v>
      </c>
    </row>
    <row r="32" spans="1:20" ht="19.350000000000001" customHeight="1" x14ac:dyDescent="0.25">
      <c r="A32" s="180">
        <v>18</v>
      </c>
      <c r="B32" s="181">
        <f>'I1'!B32</f>
        <v>951323243018</v>
      </c>
      <c r="C32" s="182" t="str">
        <f>'I1'!C32</f>
        <v>EFRIN THANASEKARAN J</v>
      </c>
      <c r="D32" s="183"/>
      <c r="E32" s="183">
        <v>1</v>
      </c>
      <c r="F32" s="183">
        <v>1</v>
      </c>
      <c r="G32" s="183">
        <v>2</v>
      </c>
      <c r="H32" s="183">
        <v>1</v>
      </c>
      <c r="I32" s="183">
        <v>6</v>
      </c>
      <c r="J32" s="183"/>
      <c r="K32" s="183"/>
      <c r="L32" s="183"/>
      <c r="M32" s="183"/>
      <c r="N32" s="183"/>
      <c r="O32" s="183">
        <v>5</v>
      </c>
      <c r="P32" s="183"/>
      <c r="Q32" s="183">
        <v>9</v>
      </c>
      <c r="R32" s="183"/>
      <c r="S32" s="183">
        <v>25</v>
      </c>
      <c r="T32" s="183">
        <v>50</v>
      </c>
    </row>
    <row r="33" spans="1:20" ht="19.350000000000001" customHeight="1" x14ac:dyDescent="0.25">
      <c r="A33" s="180">
        <v>19</v>
      </c>
      <c r="B33" s="181">
        <f>'I1'!B33</f>
        <v>951323243019</v>
      </c>
      <c r="C33" s="182" t="str">
        <f>'I1'!C33</f>
        <v>GAYATHRI M</v>
      </c>
      <c r="D33" s="183">
        <v>1</v>
      </c>
      <c r="E33" s="183">
        <v>2</v>
      </c>
      <c r="F33" s="183">
        <v>2</v>
      </c>
      <c r="G33" s="183">
        <v>2</v>
      </c>
      <c r="H33" s="183">
        <v>2</v>
      </c>
      <c r="I33" s="183">
        <v>5</v>
      </c>
      <c r="J33" s="183"/>
      <c r="K33" s="183"/>
      <c r="L33" s="183">
        <v>3</v>
      </c>
      <c r="M33" s="183"/>
      <c r="N33" s="183">
        <v>5</v>
      </c>
      <c r="O33" s="183">
        <v>4</v>
      </c>
      <c r="P33" s="183"/>
      <c r="Q33" s="183">
        <v>12</v>
      </c>
      <c r="R33" s="183"/>
      <c r="S33" s="183">
        <v>38</v>
      </c>
      <c r="T33" s="183">
        <v>76</v>
      </c>
    </row>
    <row r="34" spans="1:20" ht="19.350000000000001" customHeight="1" x14ac:dyDescent="0.25">
      <c r="A34" s="180">
        <v>20</v>
      </c>
      <c r="B34" s="181">
        <f>'I1'!B34</f>
        <v>951323243020</v>
      </c>
      <c r="C34" s="182" t="str">
        <f>'I1'!C34</f>
        <v>GOKILA G</v>
      </c>
      <c r="D34" s="183">
        <v>2</v>
      </c>
      <c r="E34" s="183">
        <v>1</v>
      </c>
      <c r="F34" s="183">
        <v>2</v>
      </c>
      <c r="G34" s="183">
        <v>2</v>
      </c>
      <c r="H34" s="183">
        <v>2</v>
      </c>
      <c r="I34" s="183">
        <v>7</v>
      </c>
      <c r="J34" s="183"/>
      <c r="K34" s="183"/>
      <c r="L34" s="183">
        <v>7</v>
      </c>
      <c r="M34" s="183"/>
      <c r="N34" s="183"/>
      <c r="O34" s="183">
        <v>5</v>
      </c>
      <c r="P34" s="183"/>
      <c r="Q34" s="183">
        <v>12</v>
      </c>
      <c r="R34" s="183"/>
      <c r="S34" s="183">
        <v>40</v>
      </c>
      <c r="T34" s="183">
        <v>80</v>
      </c>
    </row>
    <row r="35" spans="1:20" ht="19.350000000000001" customHeight="1" x14ac:dyDescent="0.25">
      <c r="A35" s="180">
        <v>21</v>
      </c>
      <c r="B35" s="181">
        <f>'I1'!B35</f>
        <v>951323243021</v>
      </c>
      <c r="C35" s="182" t="str">
        <f>'I1'!C35</f>
        <v>GOWRI KRISHNAVENI N</v>
      </c>
      <c r="D35" s="183">
        <v>2</v>
      </c>
      <c r="E35" s="183">
        <v>1</v>
      </c>
      <c r="F35" s="183">
        <v>2</v>
      </c>
      <c r="G35" s="183">
        <v>2</v>
      </c>
      <c r="H35" s="183">
        <v>2</v>
      </c>
      <c r="I35" s="183">
        <v>7</v>
      </c>
      <c r="J35" s="183"/>
      <c r="K35" s="183"/>
      <c r="L35" s="183">
        <v>7</v>
      </c>
      <c r="M35" s="183"/>
      <c r="N35" s="183">
        <v>7</v>
      </c>
      <c r="O35" s="183">
        <v>7</v>
      </c>
      <c r="P35" s="183"/>
      <c r="Q35" s="183">
        <v>12</v>
      </c>
      <c r="R35" s="183"/>
      <c r="S35" s="183">
        <v>49</v>
      </c>
      <c r="T35" s="183">
        <v>98</v>
      </c>
    </row>
    <row r="36" spans="1:20" ht="19.350000000000001" customHeight="1" x14ac:dyDescent="0.25">
      <c r="A36" s="180">
        <v>22</v>
      </c>
      <c r="B36" s="181">
        <f>'I1'!B36</f>
        <v>951323243022</v>
      </c>
      <c r="C36" s="182" t="str">
        <f>'I1'!C36</f>
        <v>HEART BRIGHT MERCY S</v>
      </c>
      <c r="D36" s="183"/>
      <c r="E36" s="183"/>
      <c r="F36" s="183"/>
      <c r="G36" s="183"/>
      <c r="H36" s="183"/>
      <c r="I36" s="183"/>
      <c r="J36" s="183"/>
      <c r="K36" s="183"/>
      <c r="L36" s="183"/>
      <c r="M36" s="183"/>
      <c r="N36" s="183"/>
      <c r="O36" s="183"/>
      <c r="P36" s="183"/>
      <c r="Q36" s="183"/>
      <c r="R36" s="183"/>
      <c r="S36" s="183"/>
      <c r="T36" s="183" t="s">
        <v>309</v>
      </c>
    </row>
    <row r="37" spans="1:20" ht="19.350000000000001" customHeight="1" x14ac:dyDescent="0.25">
      <c r="A37" s="180">
        <v>23</v>
      </c>
      <c r="B37" s="181">
        <f>'I1'!B37</f>
        <v>951323243023</v>
      </c>
      <c r="C37" s="182" t="str">
        <f>'I1'!C37</f>
        <v>INFANT EBINESH R</v>
      </c>
      <c r="D37" s="183">
        <v>1</v>
      </c>
      <c r="E37" s="183">
        <v>1</v>
      </c>
      <c r="F37" s="183"/>
      <c r="G37" s="183"/>
      <c r="H37" s="183"/>
      <c r="I37" s="183"/>
      <c r="J37" s="183"/>
      <c r="K37" s="183"/>
      <c r="L37" s="183"/>
      <c r="M37" s="183"/>
      <c r="N37" s="183"/>
      <c r="O37" s="183"/>
      <c r="P37" s="183"/>
      <c r="Q37" s="183">
        <v>3</v>
      </c>
      <c r="R37" s="183"/>
      <c r="S37" s="183">
        <v>5</v>
      </c>
      <c r="T37" s="183">
        <v>10</v>
      </c>
    </row>
    <row r="38" spans="1:20" ht="19.350000000000001" customHeight="1" x14ac:dyDescent="0.25">
      <c r="A38" s="180">
        <v>24</v>
      </c>
      <c r="B38" s="181">
        <f>'I1'!B38</f>
        <v>951323243024</v>
      </c>
      <c r="C38" s="182" t="str">
        <f>'I1'!C38</f>
        <v>JAI SURYA N</v>
      </c>
      <c r="D38" s="183">
        <v>1</v>
      </c>
      <c r="E38" s="183">
        <v>1</v>
      </c>
      <c r="F38" s="183">
        <v>1</v>
      </c>
      <c r="G38" s="183">
        <v>2</v>
      </c>
      <c r="H38" s="183">
        <v>1</v>
      </c>
      <c r="I38" s="183">
        <v>4</v>
      </c>
      <c r="J38" s="183"/>
      <c r="K38" s="183"/>
      <c r="L38" s="183"/>
      <c r="M38" s="183"/>
      <c r="N38" s="183"/>
      <c r="O38" s="183">
        <v>3</v>
      </c>
      <c r="P38" s="183"/>
      <c r="Q38" s="183"/>
      <c r="R38" s="183">
        <v>8</v>
      </c>
      <c r="S38" s="183">
        <v>21</v>
      </c>
      <c r="T38" s="183">
        <v>42</v>
      </c>
    </row>
    <row r="39" spans="1:20" ht="19.350000000000001" customHeight="1" x14ac:dyDescent="0.25">
      <c r="A39" s="180">
        <v>25</v>
      </c>
      <c r="B39" s="181">
        <f>'I1'!B39</f>
        <v>951323243025</v>
      </c>
      <c r="C39" s="182" t="str">
        <f>'I1'!C39</f>
        <v>JANI ALICE THIRSA J</v>
      </c>
      <c r="D39" s="183">
        <v>2</v>
      </c>
      <c r="E39" s="183">
        <v>1</v>
      </c>
      <c r="F39" s="183">
        <v>2</v>
      </c>
      <c r="G39" s="183">
        <v>2</v>
      </c>
      <c r="H39" s="183">
        <v>2</v>
      </c>
      <c r="I39" s="183">
        <v>6</v>
      </c>
      <c r="J39" s="183"/>
      <c r="K39" s="183">
        <v>2</v>
      </c>
      <c r="L39" s="183"/>
      <c r="M39" s="183">
        <v>3</v>
      </c>
      <c r="N39" s="183"/>
      <c r="O39" s="183">
        <v>5</v>
      </c>
      <c r="P39" s="183"/>
      <c r="Q39" s="183">
        <v>11</v>
      </c>
      <c r="R39" s="183"/>
      <c r="S39" s="183">
        <v>36</v>
      </c>
      <c r="T39" s="183">
        <v>72</v>
      </c>
    </row>
    <row r="40" spans="1:20" ht="19.350000000000001" customHeight="1" x14ac:dyDescent="0.25">
      <c r="A40" s="180">
        <v>26</v>
      </c>
      <c r="B40" s="181">
        <f>'I1'!B40</f>
        <v>951323243026</v>
      </c>
      <c r="C40" s="182" t="str">
        <f>'I1'!C40</f>
        <v>JEBA A</v>
      </c>
      <c r="D40" s="183">
        <v>2</v>
      </c>
      <c r="E40" s="183">
        <v>1</v>
      </c>
      <c r="F40" s="183">
        <v>2</v>
      </c>
      <c r="G40" s="183">
        <v>2</v>
      </c>
      <c r="H40" s="183">
        <v>2</v>
      </c>
      <c r="I40" s="183">
        <v>7</v>
      </c>
      <c r="J40" s="183"/>
      <c r="K40" s="183"/>
      <c r="L40" s="183">
        <v>7</v>
      </c>
      <c r="M40" s="183"/>
      <c r="N40" s="183">
        <v>6</v>
      </c>
      <c r="O40" s="183">
        <v>4</v>
      </c>
      <c r="P40" s="183"/>
      <c r="Q40" s="183">
        <v>12</v>
      </c>
      <c r="R40" s="183"/>
      <c r="S40" s="183">
        <v>45</v>
      </c>
      <c r="T40" s="183">
        <v>90</v>
      </c>
    </row>
    <row r="41" spans="1:20" ht="19.350000000000001" customHeight="1" x14ac:dyDescent="0.25">
      <c r="A41" s="180">
        <v>27</v>
      </c>
      <c r="B41" s="181">
        <f>'I1'!B41</f>
        <v>951323243027</v>
      </c>
      <c r="C41" s="182" t="str">
        <f>'I1'!C41</f>
        <v>JENIFER E</v>
      </c>
      <c r="D41" s="183">
        <v>2</v>
      </c>
      <c r="E41" s="183">
        <v>1</v>
      </c>
      <c r="F41" s="183">
        <v>2</v>
      </c>
      <c r="G41" s="183">
        <v>2</v>
      </c>
      <c r="H41" s="183">
        <v>2</v>
      </c>
      <c r="I41" s="183">
        <v>7</v>
      </c>
      <c r="J41" s="183"/>
      <c r="K41" s="183"/>
      <c r="L41" s="183">
        <v>7</v>
      </c>
      <c r="M41" s="183"/>
      <c r="N41" s="183">
        <v>7</v>
      </c>
      <c r="O41" s="183">
        <v>7</v>
      </c>
      <c r="P41" s="183"/>
      <c r="Q41" s="183">
        <v>12</v>
      </c>
      <c r="R41" s="183"/>
      <c r="S41" s="183">
        <v>49</v>
      </c>
      <c r="T41" s="183">
        <v>98</v>
      </c>
    </row>
    <row r="42" spans="1:20" ht="19.350000000000001" customHeight="1" x14ac:dyDescent="0.25">
      <c r="A42" s="180">
        <v>28</v>
      </c>
      <c r="B42" s="181">
        <f>'I1'!B42</f>
        <v>951323243028</v>
      </c>
      <c r="C42" s="182" t="str">
        <f>'I1'!C42</f>
        <v>JENITTA CATHERIN R</v>
      </c>
      <c r="D42" s="183">
        <v>1</v>
      </c>
      <c r="E42" s="183"/>
      <c r="F42" s="183">
        <v>2</v>
      </c>
      <c r="G42" s="183">
        <v>1</v>
      </c>
      <c r="H42" s="183"/>
      <c r="I42" s="183">
        <v>7</v>
      </c>
      <c r="J42" s="183"/>
      <c r="K42" s="183"/>
      <c r="L42" s="183"/>
      <c r="M42" s="183"/>
      <c r="N42" s="183">
        <v>6</v>
      </c>
      <c r="O42" s="183"/>
      <c r="P42" s="183">
        <v>6</v>
      </c>
      <c r="Q42" s="183">
        <v>11</v>
      </c>
      <c r="R42" s="183"/>
      <c r="S42" s="183">
        <v>34</v>
      </c>
      <c r="T42" s="183">
        <v>68</v>
      </c>
    </row>
    <row r="43" spans="1:20" ht="19.350000000000001" customHeight="1" x14ac:dyDescent="0.25">
      <c r="A43" s="180">
        <v>29</v>
      </c>
      <c r="B43" s="181">
        <f>'I1'!B43</f>
        <v>951323243029</v>
      </c>
      <c r="C43" s="182" t="str">
        <f>'I1'!C43</f>
        <v>JEYACHITHRA K</v>
      </c>
      <c r="D43" s="183">
        <v>2</v>
      </c>
      <c r="E43" s="183">
        <v>1</v>
      </c>
      <c r="F43" s="183">
        <v>2</v>
      </c>
      <c r="G43" s="183">
        <v>2</v>
      </c>
      <c r="H43" s="183">
        <v>2</v>
      </c>
      <c r="I43" s="183">
        <v>7</v>
      </c>
      <c r="J43" s="183"/>
      <c r="K43" s="183"/>
      <c r="L43" s="183">
        <v>7</v>
      </c>
      <c r="M43" s="183"/>
      <c r="N43" s="183">
        <v>7</v>
      </c>
      <c r="O43" s="183">
        <v>7</v>
      </c>
      <c r="P43" s="183"/>
      <c r="Q43" s="183">
        <v>12</v>
      </c>
      <c r="R43" s="183"/>
      <c r="S43" s="183">
        <v>49</v>
      </c>
      <c r="T43" s="183">
        <v>98</v>
      </c>
    </row>
    <row r="44" spans="1:20" ht="19.350000000000001" customHeight="1" x14ac:dyDescent="0.25">
      <c r="A44" s="180">
        <v>30</v>
      </c>
      <c r="B44" s="181">
        <f>'I1'!B44</f>
        <v>951323243030</v>
      </c>
      <c r="C44" s="182" t="str">
        <f>'I1'!C44</f>
        <v>JOSVA PRINCE R</v>
      </c>
      <c r="D44" s="183">
        <v>1</v>
      </c>
      <c r="E44" s="183"/>
      <c r="F44" s="183"/>
      <c r="G44" s="183"/>
      <c r="H44" s="183"/>
      <c r="I44" s="183"/>
      <c r="J44" s="183"/>
      <c r="K44" s="183"/>
      <c r="L44" s="183"/>
      <c r="M44" s="183"/>
      <c r="N44" s="183"/>
      <c r="O44" s="183"/>
      <c r="P44" s="183"/>
      <c r="Q44" s="183">
        <v>9</v>
      </c>
      <c r="R44" s="183"/>
      <c r="S44" s="183">
        <v>10</v>
      </c>
      <c r="T44" s="183">
        <v>20</v>
      </c>
    </row>
    <row r="45" spans="1:20" ht="19.350000000000001" customHeight="1" x14ac:dyDescent="0.25">
      <c r="A45" s="180">
        <v>31</v>
      </c>
      <c r="B45" s="181">
        <f>'I1'!B45</f>
        <v>951323243031</v>
      </c>
      <c r="C45" s="182" t="str">
        <f>'I1'!C45</f>
        <v>KALAI SELVAN VINOTH P</v>
      </c>
      <c r="D45" s="183">
        <v>2</v>
      </c>
      <c r="E45" s="183">
        <v>1</v>
      </c>
      <c r="F45" s="183">
        <v>1</v>
      </c>
      <c r="G45" s="183">
        <v>2</v>
      </c>
      <c r="H45" s="183">
        <v>2</v>
      </c>
      <c r="I45" s="183"/>
      <c r="J45" s="183"/>
      <c r="K45" s="183"/>
      <c r="L45" s="183"/>
      <c r="M45" s="183"/>
      <c r="N45" s="183"/>
      <c r="O45" s="183">
        <v>4</v>
      </c>
      <c r="P45" s="183"/>
      <c r="Q45" s="183">
        <v>11</v>
      </c>
      <c r="R45" s="183"/>
      <c r="S45" s="183">
        <v>23</v>
      </c>
      <c r="T45" s="183">
        <v>46</v>
      </c>
    </row>
    <row r="46" spans="1:20" ht="19.350000000000001" customHeight="1" x14ac:dyDescent="0.25">
      <c r="A46" s="180">
        <v>32</v>
      </c>
      <c r="B46" s="181">
        <f>'I1'!B46</f>
        <v>951323243032</v>
      </c>
      <c r="C46" s="182" t="str">
        <f>'I1'!C46</f>
        <v>LAKSHMANAN SARATHI S</v>
      </c>
      <c r="D46" s="183">
        <v>2</v>
      </c>
      <c r="E46" s="183">
        <v>2</v>
      </c>
      <c r="F46" s="183">
        <v>2</v>
      </c>
      <c r="G46" s="183">
        <v>2</v>
      </c>
      <c r="H46" s="183">
        <v>2</v>
      </c>
      <c r="I46" s="183">
        <v>3</v>
      </c>
      <c r="J46" s="183"/>
      <c r="K46" s="183"/>
      <c r="L46" s="183"/>
      <c r="M46" s="183"/>
      <c r="N46" s="183"/>
      <c r="O46" s="183">
        <v>4</v>
      </c>
      <c r="P46" s="183"/>
      <c r="Q46" s="183"/>
      <c r="R46" s="183">
        <v>11</v>
      </c>
      <c r="S46" s="183">
        <v>28</v>
      </c>
      <c r="T46" s="183">
        <v>56</v>
      </c>
    </row>
    <row r="47" spans="1:20" ht="19.350000000000001" customHeight="1" x14ac:dyDescent="0.25">
      <c r="A47" s="180">
        <v>33</v>
      </c>
      <c r="B47" s="181">
        <f>'I1'!B47</f>
        <v>951323243033</v>
      </c>
      <c r="C47" s="182" t="str">
        <f>'I1'!C47</f>
        <v>LIJO DURAISINGH V S</v>
      </c>
      <c r="D47" s="183">
        <v>1</v>
      </c>
      <c r="E47" s="183">
        <v>2</v>
      </c>
      <c r="F47" s="183">
        <v>2</v>
      </c>
      <c r="G47" s="183">
        <v>2</v>
      </c>
      <c r="H47" s="183">
        <v>1</v>
      </c>
      <c r="I47" s="183">
        <v>4</v>
      </c>
      <c r="J47" s="183"/>
      <c r="K47" s="183"/>
      <c r="L47" s="183"/>
      <c r="M47" s="183"/>
      <c r="N47" s="183"/>
      <c r="O47" s="183">
        <v>6</v>
      </c>
      <c r="P47" s="183"/>
      <c r="Q47" s="183">
        <v>10</v>
      </c>
      <c r="R47" s="183"/>
      <c r="S47" s="183">
        <v>28</v>
      </c>
      <c r="T47" s="183">
        <v>56</v>
      </c>
    </row>
    <row r="48" spans="1:20" ht="20.100000000000001" customHeight="1" x14ac:dyDescent="0.25">
      <c r="A48" s="180">
        <v>34</v>
      </c>
      <c r="B48" s="181">
        <f>'I1'!B48</f>
        <v>951323243034</v>
      </c>
      <c r="C48" s="182" t="str">
        <f>'I1'!C48</f>
        <v>LOVISAL JOY K</v>
      </c>
      <c r="D48" s="183">
        <v>2</v>
      </c>
      <c r="E48" s="183">
        <v>1</v>
      </c>
      <c r="F48" s="183">
        <v>2</v>
      </c>
      <c r="G48" s="183">
        <v>2</v>
      </c>
      <c r="H48" s="183">
        <v>1</v>
      </c>
      <c r="I48" s="183">
        <v>7</v>
      </c>
      <c r="J48" s="183"/>
      <c r="K48" s="183">
        <v>6</v>
      </c>
      <c r="L48" s="183"/>
      <c r="M48" s="183"/>
      <c r="N48" s="183">
        <v>5</v>
      </c>
      <c r="O48" s="183">
        <v>6</v>
      </c>
      <c r="P48" s="183"/>
      <c r="Q48" s="183">
        <v>11</v>
      </c>
      <c r="R48" s="183"/>
      <c r="S48" s="183">
        <v>43</v>
      </c>
      <c r="T48" s="183">
        <v>86</v>
      </c>
    </row>
    <row r="49" spans="1:20" ht="20.100000000000001" customHeight="1" x14ac:dyDescent="0.25">
      <c r="A49" s="180">
        <v>35</v>
      </c>
      <c r="B49" s="181">
        <f>'I1'!B49</f>
        <v>951323243035</v>
      </c>
      <c r="C49" s="182" t="str">
        <f>'I1'!C49</f>
        <v>MAGESH GOWRI S</v>
      </c>
      <c r="D49" s="183">
        <v>2</v>
      </c>
      <c r="E49" s="183">
        <v>1</v>
      </c>
      <c r="F49" s="183">
        <v>2</v>
      </c>
      <c r="G49" s="183">
        <v>2</v>
      </c>
      <c r="H49" s="183">
        <v>2</v>
      </c>
      <c r="I49" s="183">
        <v>6</v>
      </c>
      <c r="J49" s="183"/>
      <c r="K49" s="183"/>
      <c r="L49" s="183">
        <v>6</v>
      </c>
      <c r="M49" s="183"/>
      <c r="N49" s="183">
        <v>7</v>
      </c>
      <c r="O49" s="183"/>
      <c r="P49" s="183"/>
      <c r="Q49" s="183">
        <v>12</v>
      </c>
      <c r="R49" s="183"/>
      <c r="S49" s="183">
        <v>40</v>
      </c>
      <c r="T49" s="183">
        <v>80</v>
      </c>
    </row>
    <row r="50" spans="1:20" ht="19.350000000000001" customHeight="1" x14ac:dyDescent="0.25">
      <c r="A50" s="180">
        <v>36</v>
      </c>
      <c r="B50" s="181">
        <f>'I1'!B50</f>
        <v>951323243036</v>
      </c>
      <c r="C50" s="182" t="str">
        <f>'I1'!C50</f>
        <v>MARIMUTHU S</v>
      </c>
      <c r="D50" s="183">
        <v>2</v>
      </c>
      <c r="E50" s="183">
        <v>2</v>
      </c>
      <c r="F50" s="183">
        <v>1</v>
      </c>
      <c r="G50" s="183">
        <v>2</v>
      </c>
      <c r="H50" s="183">
        <v>2</v>
      </c>
      <c r="I50" s="183"/>
      <c r="J50" s="183"/>
      <c r="K50" s="183"/>
      <c r="L50" s="183"/>
      <c r="M50" s="183"/>
      <c r="N50" s="183"/>
      <c r="O50" s="183">
        <v>4</v>
      </c>
      <c r="P50" s="183"/>
      <c r="Q50" s="183"/>
      <c r="R50" s="183">
        <v>9</v>
      </c>
      <c r="S50" s="183">
        <v>22</v>
      </c>
      <c r="T50" s="183">
        <v>44</v>
      </c>
    </row>
    <row r="51" spans="1:20" ht="19.350000000000001" customHeight="1" x14ac:dyDescent="0.25">
      <c r="A51" s="180">
        <v>37</v>
      </c>
      <c r="B51" s="181">
        <f>'I1'!B51</f>
        <v>951323243037</v>
      </c>
      <c r="C51" s="182" t="str">
        <f>'I1'!C51</f>
        <v>MARIYA FATHIMA JEYARANI R</v>
      </c>
      <c r="D51" s="183">
        <v>2</v>
      </c>
      <c r="E51" s="183">
        <v>1</v>
      </c>
      <c r="F51" s="183">
        <v>1</v>
      </c>
      <c r="G51" s="183">
        <v>2</v>
      </c>
      <c r="H51" s="183">
        <v>1</v>
      </c>
      <c r="I51" s="183">
        <v>6</v>
      </c>
      <c r="J51" s="183"/>
      <c r="K51" s="183">
        <v>4</v>
      </c>
      <c r="L51" s="183"/>
      <c r="M51" s="183"/>
      <c r="N51" s="183">
        <v>6</v>
      </c>
      <c r="O51" s="183"/>
      <c r="P51" s="183">
        <v>6</v>
      </c>
      <c r="Q51" s="183">
        <v>7</v>
      </c>
      <c r="R51" s="183"/>
      <c r="S51" s="183">
        <v>36</v>
      </c>
      <c r="T51" s="183">
        <v>72</v>
      </c>
    </row>
    <row r="52" spans="1:20" ht="19.350000000000001" customHeight="1" x14ac:dyDescent="0.25">
      <c r="A52" s="180">
        <v>38</v>
      </c>
      <c r="B52" s="181">
        <f>'I1'!B52</f>
        <v>951323243038</v>
      </c>
      <c r="C52" s="182" t="str">
        <f>'I1'!C52</f>
        <v>MARTIN PRISCA D</v>
      </c>
      <c r="D52" s="183">
        <v>2</v>
      </c>
      <c r="E52" s="183">
        <v>1</v>
      </c>
      <c r="F52" s="183">
        <v>2</v>
      </c>
      <c r="G52" s="183">
        <v>1</v>
      </c>
      <c r="H52" s="183">
        <v>2</v>
      </c>
      <c r="I52" s="183">
        <v>4</v>
      </c>
      <c r="J52" s="183"/>
      <c r="K52" s="183"/>
      <c r="L52" s="183"/>
      <c r="M52" s="183"/>
      <c r="N52" s="183">
        <v>7</v>
      </c>
      <c r="O52" s="183"/>
      <c r="P52" s="183"/>
      <c r="Q52" s="183">
        <v>11</v>
      </c>
      <c r="R52" s="183"/>
      <c r="S52" s="183">
        <v>30</v>
      </c>
      <c r="T52" s="183">
        <v>60</v>
      </c>
    </row>
    <row r="53" spans="1:20" ht="19.350000000000001" customHeight="1" x14ac:dyDescent="0.25">
      <c r="A53" s="180">
        <v>39</v>
      </c>
      <c r="B53" s="181">
        <f>'I1'!B53</f>
        <v>951323243039</v>
      </c>
      <c r="C53" s="182" t="str">
        <f>'I1'!C53</f>
        <v>MERLIN HEPSIBA K</v>
      </c>
      <c r="D53" s="183">
        <v>1</v>
      </c>
      <c r="E53" s="183">
        <v>1</v>
      </c>
      <c r="F53" s="183">
        <v>1</v>
      </c>
      <c r="G53" s="183">
        <v>1</v>
      </c>
      <c r="H53" s="183">
        <v>1</v>
      </c>
      <c r="I53" s="183">
        <v>7</v>
      </c>
      <c r="J53" s="183"/>
      <c r="K53" s="183"/>
      <c r="L53" s="183">
        <v>7</v>
      </c>
      <c r="M53" s="183"/>
      <c r="N53" s="183">
        <v>7</v>
      </c>
      <c r="O53" s="183">
        <v>7</v>
      </c>
      <c r="P53" s="183"/>
      <c r="Q53" s="183">
        <v>12</v>
      </c>
      <c r="R53" s="183"/>
      <c r="S53" s="183">
        <v>45</v>
      </c>
      <c r="T53" s="183">
        <v>90</v>
      </c>
    </row>
    <row r="54" spans="1:20" ht="19.350000000000001" customHeight="1" x14ac:dyDescent="0.25">
      <c r="A54" s="180">
        <v>40</v>
      </c>
      <c r="B54" s="181">
        <f>'I1'!B54</f>
        <v>951323243042</v>
      </c>
      <c r="C54" s="182" t="str">
        <f>'I1'!C54</f>
        <v>MUTHUPRASANNA M</v>
      </c>
      <c r="D54" s="183">
        <v>2</v>
      </c>
      <c r="E54" s="183">
        <v>2</v>
      </c>
      <c r="F54" s="183">
        <v>2</v>
      </c>
      <c r="G54" s="183">
        <v>2</v>
      </c>
      <c r="H54" s="183">
        <v>2</v>
      </c>
      <c r="I54" s="183">
        <v>7</v>
      </c>
      <c r="J54" s="183"/>
      <c r="K54" s="183"/>
      <c r="L54" s="183">
        <v>6</v>
      </c>
      <c r="M54" s="183"/>
      <c r="N54" s="183">
        <v>6</v>
      </c>
      <c r="O54" s="183">
        <v>6</v>
      </c>
      <c r="P54" s="183"/>
      <c r="Q54" s="183">
        <v>12</v>
      </c>
      <c r="R54" s="183"/>
      <c r="S54" s="183">
        <v>47</v>
      </c>
      <c r="T54" s="183">
        <v>94</v>
      </c>
    </row>
    <row r="55" spans="1:20" ht="19.350000000000001" customHeight="1" x14ac:dyDescent="0.25">
      <c r="A55" s="180">
        <v>41</v>
      </c>
      <c r="B55" s="181">
        <f>'I1'!B55</f>
        <v>951323243043</v>
      </c>
      <c r="C55" s="182" t="str">
        <f>'I1'!C55</f>
        <v>MUTHURAJ M</v>
      </c>
      <c r="D55" s="183">
        <v>2</v>
      </c>
      <c r="E55" s="183">
        <v>2</v>
      </c>
      <c r="F55" s="183">
        <v>1</v>
      </c>
      <c r="G55" s="183">
        <v>2</v>
      </c>
      <c r="H55" s="183">
        <v>2</v>
      </c>
      <c r="I55" s="183"/>
      <c r="J55" s="183"/>
      <c r="K55" s="183"/>
      <c r="L55" s="183"/>
      <c r="M55" s="183"/>
      <c r="N55" s="183"/>
      <c r="O55" s="183">
        <v>4</v>
      </c>
      <c r="P55" s="183"/>
      <c r="Q55" s="183"/>
      <c r="R55" s="183">
        <v>9</v>
      </c>
      <c r="S55" s="183">
        <v>22</v>
      </c>
      <c r="T55" s="183">
        <v>44</v>
      </c>
    </row>
    <row r="56" spans="1:20" ht="19.350000000000001" customHeight="1" x14ac:dyDescent="0.25">
      <c r="A56" s="180">
        <v>42</v>
      </c>
      <c r="B56" s="181">
        <f>'I1'!B56</f>
        <v>951323243045</v>
      </c>
      <c r="C56" s="182" t="str">
        <f>'I1'!C56</f>
        <v>PONKEERTHANA B</v>
      </c>
      <c r="D56" s="183">
        <v>2</v>
      </c>
      <c r="E56" s="183">
        <v>1</v>
      </c>
      <c r="F56" s="183">
        <v>2</v>
      </c>
      <c r="G56" s="183">
        <v>2</v>
      </c>
      <c r="H56" s="183">
        <v>2</v>
      </c>
      <c r="I56" s="183"/>
      <c r="J56" s="183">
        <v>1</v>
      </c>
      <c r="K56" s="183"/>
      <c r="L56" s="183"/>
      <c r="M56" s="183"/>
      <c r="N56" s="183"/>
      <c r="O56" s="183">
        <v>6</v>
      </c>
      <c r="P56" s="183"/>
      <c r="Q56" s="183">
        <v>12</v>
      </c>
      <c r="R56" s="183"/>
      <c r="S56" s="183">
        <v>28</v>
      </c>
      <c r="T56" s="183">
        <v>56</v>
      </c>
    </row>
    <row r="57" spans="1:20" ht="20.100000000000001" customHeight="1" x14ac:dyDescent="0.25">
      <c r="A57" s="180">
        <v>43</v>
      </c>
      <c r="B57" s="181">
        <f>'I1'!B57</f>
        <v>951323243046</v>
      </c>
      <c r="C57" s="182" t="str">
        <f>'I1'!C57</f>
        <v>POORANATRIFFIE P</v>
      </c>
      <c r="D57" s="183">
        <v>1</v>
      </c>
      <c r="E57" s="183">
        <v>1</v>
      </c>
      <c r="F57" s="183">
        <v>2</v>
      </c>
      <c r="G57" s="183">
        <v>2</v>
      </c>
      <c r="H57" s="183">
        <v>1</v>
      </c>
      <c r="I57" s="183">
        <v>4</v>
      </c>
      <c r="J57" s="183"/>
      <c r="K57" s="183"/>
      <c r="L57" s="183">
        <v>6</v>
      </c>
      <c r="M57" s="183"/>
      <c r="N57" s="183">
        <v>5</v>
      </c>
      <c r="O57" s="183">
        <v>6</v>
      </c>
      <c r="P57" s="183"/>
      <c r="Q57" s="183">
        <v>12</v>
      </c>
      <c r="R57" s="183"/>
      <c r="S57" s="183">
        <v>40</v>
      </c>
      <c r="T57" s="183">
        <v>80</v>
      </c>
    </row>
    <row r="58" spans="1:20" ht="20.100000000000001" customHeight="1" x14ac:dyDescent="0.25">
      <c r="A58" s="180">
        <v>44</v>
      </c>
      <c r="B58" s="181">
        <f>'I1'!B58</f>
        <v>951323243047</v>
      </c>
      <c r="C58" s="182" t="str">
        <f>'I1'!C58</f>
        <v>RACKLAND T</v>
      </c>
      <c r="D58" s="183">
        <v>2</v>
      </c>
      <c r="E58" s="183">
        <v>2</v>
      </c>
      <c r="F58" s="183">
        <v>1</v>
      </c>
      <c r="G58" s="183">
        <v>2</v>
      </c>
      <c r="H58" s="183">
        <v>2</v>
      </c>
      <c r="I58" s="183">
        <v>5</v>
      </c>
      <c r="J58" s="183"/>
      <c r="K58" s="183"/>
      <c r="L58" s="183"/>
      <c r="M58" s="183"/>
      <c r="N58" s="183"/>
      <c r="O58" s="183">
        <v>2</v>
      </c>
      <c r="P58" s="183"/>
      <c r="Q58" s="183">
        <v>11</v>
      </c>
      <c r="R58" s="183"/>
      <c r="S58" s="183">
        <v>27</v>
      </c>
      <c r="T58" s="183">
        <v>54</v>
      </c>
    </row>
    <row r="59" spans="1:20" ht="19.350000000000001" customHeight="1" x14ac:dyDescent="0.25">
      <c r="A59" s="180">
        <v>45</v>
      </c>
      <c r="B59" s="181">
        <f>'I1'!B59</f>
        <v>951323243048</v>
      </c>
      <c r="C59" s="182" t="str">
        <f>'I1'!C59</f>
        <v>RAJA SUNDAR K</v>
      </c>
      <c r="D59" s="183">
        <v>2</v>
      </c>
      <c r="E59" s="183">
        <v>1</v>
      </c>
      <c r="F59" s="183">
        <v>1</v>
      </c>
      <c r="G59" s="183">
        <v>1</v>
      </c>
      <c r="H59" s="183">
        <v>2</v>
      </c>
      <c r="I59" s="183">
        <v>4</v>
      </c>
      <c r="J59" s="183"/>
      <c r="K59" s="183"/>
      <c r="L59" s="183"/>
      <c r="M59" s="183"/>
      <c r="N59" s="183"/>
      <c r="O59" s="183"/>
      <c r="P59" s="183"/>
      <c r="Q59" s="183">
        <v>9</v>
      </c>
      <c r="R59" s="183"/>
      <c r="S59" s="183">
        <v>20</v>
      </c>
      <c r="T59" s="183">
        <v>40</v>
      </c>
    </row>
    <row r="60" spans="1:20" ht="19.350000000000001" customHeight="1" x14ac:dyDescent="0.25">
      <c r="A60" s="180">
        <v>46</v>
      </c>
      <c r="B60" s="181">
        <f>'I1'!B60</f>
        <v>951323243049</v>
      </c>
      <c r="C60" s="182" t="str">
        <f>'I1'!C60</f>
        <v>RAMALINGAM B</v>
      </c>
      <c r="D60" s="183">
        <v>2</v>
      </c>
      <c r="E60" s="183">
        <v>2</v>
      </c>
      <c r="F60" s="183">
        <v>1</v>
      </c>
      <c r="G60" s="183">
        <v>2</v>
      </c>
      <c r="H60" s="183">
        <v>2</v>
      </c>
      <c r="I60" s="183"/>
      <c r="J60" s="183"/>
      <c r="K60" s="183"/>
      <c r="L60" s="183"/>
      <c r="M60" s="183"/>
      <c r="N60" s="183">
        <v>1</v>
      </c>
      <c r="O60" s="183"/>
      <c r="P60" s="183"/>
      <c r="Q60" s="183"/>
      <c r="R60" s="183"/>
      <c r="S60" s="183">
        <v>10</v>
      </c>
      <c r="T60" s="183">
        <v>20</v>
      </c>
    </row>
    <row r="61" spans="1:20" ht="19.350000000000001" customHeight="1" x14ac:dyDescent="0.25">
      <c r="A61" s="180">
        <v>47</v>
      </c>
      <c r="B61" s="181">
        <f>'I1'!B61</f>
        <v>951323243050</v>
      </c>
      <c r="C61" s="182" t="str">
        <f>'I1'!C61</f>
        <v>SELVAM GRACELIN S</v>
      </c>
      <c r="D61" s="183">
        <v>1</v>
      </c>
      <c r="E61" s="183">
        <v>1</v>
      </c>
      <c r="F61" s="183">
        <v>1</v>
      </c>
      <c r="G61" s="183">
        <v>2</v>
      </c>
      <c r="H61" s="183">
        <v>2</v>
      </c>
      <c r="I61" s="183">
        <v>7</v>
      </c>
      <c r="J61" s="183"/>
      <c r="K61" s="183"/>
      <c r="L61" s="183">
        <v>7</v>
      </c>
      <c r="M61" s="183">
        <v>7</v>
      </c>
      <c r="N61" s="183"/>
      <c r="O61" s="183">
        <v>6</v>
      </c>
      <c r="P61" s="183"/>
      <c r="Q61" s="183">
        <v>12</v>
      </c>
      <c r="R61" s="183"/>
      <c r="S61" s="183">
        <v>46</v>
      </c>
      <c r="T61" s="183">
        <v>92</v>
      </c>
    </row>
    <row r="62" spans="1:20" ht="19.350000000000001" customHeight="1" x14ac:dyDescent="0.25">
      <c r="A62" s="180">
        <v>48</v>
      </c>
      <c r="B62" s="181">
        <f>'I1'!B62</f>
        <v>951323243051</v>
      </c>
      <c r="C62" s="182" t="str">
        <f>'I1'!C62</f>
        <v>SHANKAR V</v>
      </c>
      <c r="D62" s="183">
        <v>1</v>
      </c>
      <c r="E62" s="183">
        <v>1</v>
      </c>
      <c r="F62" s="183"/>
      <c r="G62" s="183"/>
      <c r="H62" s="183"/>
      <c r="I62" s="183"/>
      <c r="J62" s="183"/>
      <c r="K62" s="183"/>
      <c r="L62" s="183"/>
      <c r="M62" s="183"/>
      <c r="N62" s="183"/>
      <c r="O62" s="183"/>
      <c r="P62" s="183"/>
      <c r="Q62" s="183"/>
      <c r="R62" s="183"/>
      <c r="S62" s="183">
        <v>2</v>
      </c>
      <c r="T62" s="183">
        <v>4</v>
      </c>
    </row>
    <row r="63" spans="1:20" ht="19.350000000000001" customHeight="1" x14ac:dyDescent="0.25">
      <c r="A63" s="180">
        <v>49</v>
      </c>
      <c r="B63" s="181">
        <f>'I1'!B63</f>
        <v>951323243052</v>
      </c>
      <c r="C63" s="182" t="str">
        <f>'I1'!C63</f>
        <v>SINDHUJA RAJASUMANA R</v>
      </c>
      <c r="D63" s="190">
        <v>2</v>
      </c>
      <c r="E63" s="183">
        <v>1</v>
      </c>
      <c r="F63" s="183">
        <v>2</v>
      </c>
      <c r="G63" s="183">
        <v>2</v>
      </c>
      <c r="H63" s="183">
        <v>2</v>
      </c>
      <c r="I63" s="183">
        <v>7</v>
      </c>
      <c r="J63" s="183"/>
      <c r="K63" s="183"/>
      <c r="L63" s="183">
        <v>7</v>
      </c>
      <c r="M63" s="183"/>
      <c r="N63" s="183">
        <v>7</v>
      </c>
      <c r="O63" s="183">
        <v>7</v>
      </c>
      <c r="P63" s="183"/>
      <c r="Q63" s="183">
        <v>12</v>
      </c>
      <c r="R63" s="183"/>
      <c r="S63" s="183">
        <v>49</v>
      </c>
      <c r="T63" s="183">
        <v>98</v>
      </c>
    </row>
    <row r="64" spans="1:20" ht="20.100000000000001" customHeight="1" x14ac:dyDescent="0.25">
      <c r="A64" s="180">
        <v>50</v>
      </c>
      <c r="B64" s="181">
        <f>'I1'!B64</f>
        <v>951323243053</v>
      </c>
      <c r="C64" s="182" t="str">
        <f>'I1'!C64</f>
        <v>SNEGA G</v>
      </c>
      <c r="D64" s="190">
        <v>1</v>
      </c>
      <c r="E64" s="183">
        <v>1</v>
      </c>
      <c r="F64" s="183">
        <v>2</v>
      </c>
      <c r="G64" s="183">
        <v>2</v>
      </c>
      <c r="H64" s="183">
        <v>2</v>
      </c>
      <c r="I64" s="183">
        <v>7</v>
      </c>
      <c r="J64" s="183"/>
      <c r="K64" s="183"/>
      <c r="L64" s="183"/>
      <c r="M64" s="183"/>
      <c r="N64" s="183">
        <v>7</v>
      </c>
      <c r="O64" s="183">
        <v>6</v>
      </c>
      <c r="P64" s="183"/>
      <c r="Q64" s="183">
        <v>11</v>
      </c>
      <c r="R64" s="183"/>
      <c r="S64" s="183">
        <v>39</v>
      </c>
      <c r="T64" s="183">
        <v>78</v>
      </c>
    </row>
    <row r="65" spans="1:20" ht="19.350000000000001" customHeight="1" x14ac:dyDescent="0.25">
      <c r="A65" s="180">
        <v>51</v>
      </c>
      <c r="B65" s="181">
        <f>'I1'!B65</f>
        <v>951323243054</v>
      </c>
      <c r="C65" s="182" t="str">
        <f>'I1'!C65</f>
        <v>SUBRAMANIAN V</v>
      </c>
      <c r="D65" s="190">
        <v>1</v>
      </c>
      <c r="E65" s="183">
        <v>2</v>
      </c>
      <c r="F65" s="183">
        <v>1</v>
      </c>
      <c r="G65" s="183">
        <v>2</v>
      </c>
      <c r="H65" s="183">
        <v>2</v>
      </c>
      <c r="I65" s="183"/>
      <c r="J65" s="183"/>
      <c r="K65" s="183"/>
      <c r="L65" s="183"/>
      <c r="M65" s="183"/>
      <c r="N65" s="183"/>
      <c r="O65" s="183">
        <v>4</v>
      </c>
      <c r="P65" s="183"/>
      <c r="Q65" s="183"/>
      <c r="R65" s="183">
        <v>10</v>
      </c>
      <c r="S65" s="183">
        <v>22</v>
      </c>
      <c r="T65" s="183">
        <v>44</v>
      </c>
    </row>
    <row r="66" spans="1:20" ht="19.350000000000001" customHeight="1" x14ac:dyDescent="0.25">
      <c r="A66" s="180">
        <v>52</v>
      </c>
      <c r="B66" s="181">
        <f>'I1'!B66</f>
        <v>951323243055</v>
      </c>
      <c r="C66" s="182" t="str">
        <f>'I1'!C66</f>
        <v>SUGAN RAJ H</v>
      </c>
      <c r="D66" s="190">
        <v>1</v>
      </c>
      <c r="E66" s="183">
        <v>0</v>
      </c>
      <c r="F66" s="183">
        <v>0</v>
      </c>
      <c r="G66" s="183">
        <v>1</v>
      </c>
      <c r="H66" s="183">
        <v>1</v>
      </c>
      <c r="I66" s="183">
        <v>2</v>
      </c>
      <c r="J66" s="183"/>
      <c r="K66" s="183"/>
      <c r="L66" s="183"/>
      <c r="M66" s="183"/>
      <c r="N66" s="183"/>
      <c r="O66" s="183">
        <v>1</v>
      </c>
      <c r="P66" s="183"/>
      <c r="Q66" s="183"/>
      <c r="R66" s="183">
        <v>3</v>
      </c>
      <c r="S66" s="183">
        <v>9</v>
      </c>
      <c r="T66" s="183">
        <v>18</v>
      </c>
    </row>
    <row r="67" spans="1:20" ht="19.350000000000001" customHeight="1" x14ac:dyDescent="0.25">
      <c r="A67" s="180">
        <v>53</v>
      </c>
      <c r="B67" s="181">
        <f>'I1'!B67</f>
        <v>951323243056</v>
      </c>
      <c r="C67" s="182" t="str">
        <f>'I1'!C67</f>
        <v>THOMAS KOILRAJ J</v>
      </c>
      <c r="D67" s="190">
        <v>2</v>
      </c>
      <c r="E67" s="183">
        <v>1</v>
      </c>
      <c r="F67" s="183">
        <v>1</v>
      </c>
      <c r="G67" s="183">
        <v>1</v>
      </c>
      <c r="H67" s="183">
        <v>2</v>
      </c>
      <c r="I67" s="183">
        <v>4</v>
      </c>
      <c r="J67" s="183"/>
      <c r="K67" s="183"/>
      <c r="L67" s="183"/>
      <c r="M67" s="183"/>
      <c r="N67" s="183"/>
      <c r="O67" s="183"/>
      <c r="P67" s="183"/>
      <c r="Q67" s="183">
        <v>9</v>
      </c>
      <c r="R67" s="183"/>
      <c r="S67" s="183">
        <v>20</v>
      </c>
      <c r="T67" s="183">
        <v>40</v>
      </c>
    </row>
    <row r="68" spans="1:20" ht="19.350000000000001" customHeight="1" x14ac:dyDescent="0.25">
      <c r="A68" s="180">
        <v>54</v>
      </c>
      <c r="B68" s="181">
        <f>'I1'!B68</f>
        <v>951323243057</v>
      </c>
      <c r="C68" s="182" t="str">
        <f>'I1'!C68</f>
        <v>VANITHA L</v>
      </c>
      <c r="D68" s="190">
        <v>2</v>
      </c>
      <c r="E68" s="183">
        <v>1</v>
      </c>
      <c r="F68" s="183">
        <v>2</v>
      </c>
      <c r="G68" s="183">
        <v>2</v>
      </c>
      <c r="H68" s="183">
        <v>2</v>
      </c>
      <c r="I68" s="183">
        <v>7</v>
      </c>
      <c r="J68" s="183"/>
      <c r="K68" s="183"/>
      <c r="L68" s="183"/>
      <c r="M68" s="183"/>
      <c r="N68" s="183">
        <v>5</v>
      </c>
      <c r="O68" s="183">
        <v>6</v>
      </c>
      <c r="P68" s="183"/>
      <c r="Q68" s="183"/>
      <c r="R68" s="183">
        <v>11</v>
      </c>
      <c r="S68" s="183">
        <v>38</v>
      </c>
      <c r="T68" s="183">
        <v>76</v>
      </c>
    </row>
    <row r="69" spans="1:20" ht="19.350000000000001" customHeight="1" x14ac:dyDescent="0.25">
      <c r="A69" s="180">
        <v>55</v>
      </c>
      <c r="B69" s="181">
        <f>'I1'!B69</f>
        <v>951323243058</v>
      </c>
      <c r="C69" s="182" t="str">
        <f>'I1'!C69</f>
        <v>VICTOR ROBINSON</v>
      </c>
      <c r="D69" s="190">
        <v>2</v>
      </c>
      <c r="E69" s="183">
        <v>1</v>
      </c>
      <c r="F69" s="183">
        <v>1</v>
      </c>
      <c r="G69" s="183">
        <v>2</v>
      </c>
      <c r="H69" s="183">
        <v>2</v>
      </c>
      <c r="I69" s="183"/>
      <c r="J69" s="183"/>
      <c r="K69" s="183"/>
      <c r="L69" s="183"/>
      <c r="M69" s="183"/>
      <c r="N69" s="183"/>
      <c r="O69" s="183"/>
      <c r="P69" s="183"/>
      <c r="Q69" s="183"/>
      <c r="R69" s="183">
        <v>1</v>
      </c>
      <c r="S69" s="183">
        <v>9</v>
      </c>
      <c r="T69" s="183">
        <v>18</v>
      </c>
    </row>
    <row r="70" spans="1:20" ht="20.100000000000001" customHeight="1" x14ac:dyDescent="0.25">
      <c r="A70" s="180">
        <v>56</v>
      </c>
      <c r="B70" s="181">
        <f>'I1'!B70</f>
        <v>951323243059</v>
      </c>
      <c r="C70" s="182" t="str">
        <f>'I1'!C70</f>
        <v>VIJAYAPRAKASH S</v>
      </c>
      <c r="D70" s="190">
        <v>2</v>
      </c>
      <c r="E70" s="183">
        <v>2</v>
      </c>
      <c r="F70" s="183">
        <v>1</v>
      </c>
      <c r="G70" s="183">
        <v>2</v>
      </c>
      <c r="H70" s="183">
        <v>2</v>
      </c>
      <c r="I70" s="183"/>
      <c r="J70" s="183"/>
      <c r="K70" s="183"/>
      <c r="L70" s="183"/>
      <c r="M70" s="183"/>
      <c r="N70" s="183"/>
      <c r="O70" s="183">
        <v>3</v>
      </c>
      <c r="P70" s="183"/>
      <c r="Q70" s="183"/>
      <c r="R70" s="183">
        <v>7</v>
      </c>
      <c r="S70" s="183">
        <v>19</v>
      </c>
      <c r="T70" s="183">
        <v>38</v>
      </c>
    </row>
    <row r="71" spans="1:20" ht="20.100000000000001" customHeight="1" x14ac:dyDescent="0.25">
      <c r="A71" s="180">
        <v>57</v>
      </c>
      <c r="B71" s="181">
        <f>'I1'!B71</f>
        <v>951323243060</v>
      </c>
      <c r="C71" s="182" t="str">
        <f>'I1'!C71</f>
        <v>VIJITHA BLESSY V</v>
      </c>
      <c r="D71" s="190"/>
      <c r="E71" s="183"/>
      <c r="F71" s="183"/>
      <c r="G71" s="183"/>
      <c r="H71" s="183"/>
      <c r="I71" s="183"/>
      <c r="J71" s="183"/>
      <c r="K71" s="183"/>
      <c r="L71" s="183"/>
      <c r="M71" s="183"/>
      <c r="N71" s="183"/>
      <c r="O71" s="183"/>
      <c r="P71" s="183"/>
      <c r="Q71" s="183"/>
      <c r="R71" s="183"/>
      <c r="S71" s="183"/>
      <c r="T71" s="183" t="s">
        <v>309</v>
      </c>
    </row>
    <row r="72" spans="1:20" ht="20.100000000000001" customHeight="1" x14ac:dyDescent="0.25">
      <c r="A72" s="180"/>
      <c r="B72" s="188"/>
      <c r="C72" s="189"/>
      <c r="D72" s="190"/>
      <c r="E72" s="183"/>
      <c r="F72" s="183"/>
      <c r="G72" s="183"/>
      <c r="H72" s="183"/>
      <c r="I72" s="183"/>
      <c r="J72" s="183"/>
      <c r="K72" s="183"/>
      <c r="L72" s="183"/>
      <c r="M72" s="183"/>
      <c r="N72" s="183"/>
      <c r="O72" s="183"/>
      <c r="P72" s="183"/>
      <c r="Q72" s="183"/>
      <c r="R72" s="183"/>
      <c r="S72" s="183">
        <f>SUM(D72:R72)</f>
        <v>0</v>
      </c>
      <c r="T72" s="183">
        <f>S72*2</f>
        <v>0</v>
      </c>
    </row>
    <row r="73" spans="1:20" ht="18" customHeight="1" x14ac:dyDescent="0.25">
      <c r="A73" s="365" t="s">
        <v>215</v>
      </c>
      <c r="B73" s="365"/>
      <c r="C73" s="191">
        <v>45275</v>
      </c>
      <c r="D73" s="358" t="s">
        <v>216</v>
      </c>
      <c r="E73" s="358"/>
      <c r="F73" s="358"/>
      <c r="G73" s="358"/>
      <c r="H73" s="358"/>
      <c r="I73" s="358"/>
      <c r="J73" s="358"/>
      <c r="K73" s="358"/>
      <c r="L73" s="358"/>
      <c r="M73" s="358"/>
      <c r="N73" s="358"/>
      <c r="O73" s="358"/>
      <c r="P73" s="358"/>
      <c r="Q73" s="358"/>
      <c r="R73" s="358"/>
      <c r="S73" s="366"/>
      <c r="T73" s="360"/>
    </row>
    <row r="74" spans="1:20" ht="18" customHeight="1" x14ac:dyDescent="0.25">
      <c r="A74" s="358" t="s">
        <v>217</v>
      </c>
      <c r="B74" s="358"/>
      <c r="C74" s="192">
        <f>COUNTIF(S15:S72,"&gt;0")</f>
        <v>52</v>
      </c>
      <c r="D74" s="358" t="s">
        <v>218</v>
      </c>
      <c r="E74" s="358"/>
      <c r="F74" s="358"/>
      <c r="G74" s="358"/>
      <c r="H74" s="358"/>
      <c r="I74" s="358"/>
      <c r="J74" s="358"/>
      <c r="K74" s="358"/>
      <c r="L74" s="358"/>
      <c r="M74" s="358"/>
      <c r="N74" s="358"/>
      <c r="O74" s="358"/>
      <c r="P74" s="358"/>
      <c r="Q74" s="358"/>
      <c r="R74" s="358"/>
      <c r="S74" s="359"/>
      <c r="T74" s="360"/>
    </row>
    <row r="75" spans="1:20" ht="18" customHeight="1" x14ac:dyDescent="0.25">
      <c r="A75" s="193" t="s">
        <v>219</v>
      </c>
      <c r="B75" s="193"/>
      <c r="C75" s="192">
        <f>COUNTIF(S15:S72,"&gt;24")</f>
        <v>34</v>
      </c>
      <c r="D75" s="358" t="s">
        <v>220</v>
      </c>
      <c r="E75" s="358"/>
      <c r="F75" s="358"/>
      <c r="G75" s="358"/>
      <c r="H75" s="358"/>
      <c r="I75" s="358"/>
      <c r="J75" s="358"/>
      <c r="K75" s="358"/>
      <c r="L75" s="358"/>
      <c r="M75" s="358"/>
      <c r="N75" s="358"/>
      <c r="O75" s="358"/>
      <c r="P75" s="358"/>
      <c r="Q75" s="358"/>
      <c r="R75" s="358"/>
      <c r="S75" s="359"/>
      <c r="T75" s="360"/>
    </row>
    <row r="76" spans="1:20" ht="18" customHeight="1" x14ac:dyDescent="0.25">
      <c r="A76" s="193" t="s">
        <v>221</v>
      </c>
      <c r="B76" s="193"/>
      <c r="C76" s="192">
        <f>C74-C75</f>
        <v>18</v>
      </c>
      <c r="D76" s="358" t="s">
        <v>84</v>
      </c>
      <c r="E76" s="358"/>
      <c r="F76" s="358"/>
      <c r="G76" s="358"/>
      <c r="H76" s="358"/>
      <c r="I76" s="358"/>
      <c r="J76" s="358"/>
      <c r="K76" s="358"/>
      <c r="L76" s="358"/>
      <c r="M76" s="358"/>
      <c r="N76" s="358"/>
      <c r="O76" s="358"/>
      <c r="P76" s="358"/>
      <c r="Q76" s="358"/>
      <c r="R76" s="358"/>
      <c r="S76" s="359"/>
      <c r="T76" s="360"/>
    </row>
    <row r="77" spans="1:20" ht="18" customHeight="1" x14ac:dyDescent="0.25">
      <c r="A77" s="193" t="s">
        <v>222</v>
      </c>
      <c r="B77" s="193"/>
      <c r="C77" s="236">
        <f>C75/C74</f>
        <v>0.65384615384615385</v>
      </c>
      <c r="D77" s="358" t="s">
        <v>85</v>
      </c>
      <c r="E77" s="358"/>
      <c r="F77" s="358"/>
      <c r="G77" s="358"/>
      <c r="H77" s="358"/>
      <c r="I77" s="358"/>
      <c r="J77" s="358"/>
      <c r="K77" s="358"/>
      <c r="L77" s="358"/>
      <c r="M77" s="358"/>
      <c r="N77" s="358"/>
      <c r="O77" s="358"/>
      <c r="P77" s="358"/>
      <c r="Q77" s="358"/>
      <c r="R77" s="358"/>
      <c r="S77" s="359"/>
      <c r="T77" s="360"/>
    </row>
  </sheetData>
  <mergeCells count="27">
    <mergeCell ref="D75:R75"/>
    <mergeCell ref="S75:T75"/>
    <mergeCell ref="D76:R76"/>
    <mergeCell ref="S76:T76"/>
    <mergeCell ref="D77:R77"/>
    <mergeCell ref="S77:T77"/>
    <mergeCell ref="A74:B74"/>
    <mergeCell ref="D74:R74"/>
    <mergeCell ref="S74:T74"/>
    <mergeCell ref="A10:J10"/>
    <mergeCell ref="A11:J11"/>
    <mergeCell ref="A13:A14"/>
    <mergeCell ref="B13:B14"/>
    <mergeCell ref="C13:C14"/>
    <mergeCell ref="D13:H13"/>
    <mergeCell ref="I13:R13"/>
    <mergeCell ref="S13:S14"/>
    <mergeCell ref="T13:T14"/>
    <mergeCell ref="A73:B73"/>
    <mergeCell ref="D73:R73"/>
    <mergeCell ref="S73:T73"/>
    <mergeCell ref="A8:T8"/>
    <mergeCell ref="A2:T2"/>
    <mergeCell ref="A3:T3"/>
    <mergeCell ref="A4:T4"/>
    <mergeCell ref="A6:T6"/>
    <mergeCell ref="A7:T7"/>
  </mergeCells>
  <printOptions horizontalCentered="1"/>
  <pageMargins left="0.15763888888888899" right="0.15763888888888899" top="0.86597222222222203" bottom="0.35416666666666702" header="0.51180555555555496" footer="0.51180555555555496"/>
  <pageSetup paperSize="9" scale="90" firstPageNumber="0"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64A93-47A4-45AC-BBC8-F6F67823338F}">
  <dimension ref="A1:T79"/>
  <sheetViews>
    <sheetView topLeftCell="A2" workbookViewId="0">
      <selection activeCell="A4" sqref="A4:T4"/>
    </sheetView>
  </sheetViews>
  <sheetFormatPr defaultColWidth="9.140625" defaultRowHeight="15" x14ac:dyDescent="0.25"/>
  <cols>
    <col min="1" max="1" width="6.5703125" style="172" customWidth="1"/>
    <col min="2" max="2" width="18.140625" style="172" customWidth="1"/>
    <col min="3" max="3" width="27.28515625" style="172" customWidth="1"/>
    <col min="4" max="18" width="4.7109375" style="172" customWidth="1"/>
    <col min="19" max="20" width="6.5703125" style="172" customWidth="1"/>
    <col min="21" max="1025" width="8.5703125" style="172" customWidth="1"/>
    <col min="1026" max="16384" width="9.140625" style="172"/>
  </cols>
  <sheetData>
    <row r="1" spans="1:20" x14ac:dyDescent="0.25">
      <c r="S1" s="173"/>
      <c r="T1" s="173"/>
    </row>
    <row r="2" spans="1:20" x14ac:dyDescent="0.25">
      <c r="A2" s="367" t="str">
        <f>'BL-1'!A1:L1</f>
        <v>JAYARAJ ANNAPACKIAM C. S. I. COLLEGE OF ENGINEERING</v>
      </c>
      <c r="B2" s="367"/>
      <c r="C2" s="367"/>
      <c r="D2" s="367"/>
      <c r="E2" s="367"/>
      <c r="F2" s="367"/>
      <c r="G2" s="367"/>
      <c r="H2" s="367"/>
      <c r="I2" s="367"/>
      <c r="J2" s="367"/>
      <c r="K2" s="367"/>
      <c r="L2" s="367"/>
      <c r="M2" s="367"/>
      <c r="N2" s="367"/>
      <c r="O2" s="367"/>
      <c r="P2" s="367"/>
      <c r="Q2" s="367"/>
      <c r="R2" s="367"/>
      <c r="S2" s="367"/>
      <c r="T2" s="367"/>
    </row>
    <row r="3" spans="1:20" x14ac:dyDescent="0.25">
      <c r="A3" s="367" t="str">
        <f>'BL-1'!A2:L2</f>
        <v>(Approved by AICTE, New Delhi and Affiliated to Anna University)</v>
      </c>
      <c r="B3" s="367"/>
      <c r="C3" s="367"/>
      <c r="D3" s="367"/>
      <c r="E3" s="367"/>
      <c r="F3" s="367"/>
      <c r="G3" s="367"/>
      <c r="H3" s="367"/>
      <c r="I3" s="367"/>
      <c r="J3" s="367"/>
      <c r="K3" s="367"/>
      <c r="L3" s="367"/>
      <c r="M3" s="367"/>
      <c r="N3" s="367"/>
      <c r="O3" s="367"/>
      <c r="P3" s="367"/>
      <c r="Q3" s="367"/>
      <c r="R3" s="367"/>
      <c r="S3" s="367"/>
      <c r="T3" s="367"/>
    </row>
    <row r="4" spans="1:20" x14ac:dyDescent="0.25">
      <c r="A4" s="367" t="str">
        <f>'BL-1'!A3:L3</f>
        <v>MARGOSCHIS NAGAR, NAZARETH - 628 617</v>
      </c>
      <c r="B4" s="367"/>
      <c r="C4" s="367"/>
      <c r="D4" s="367"/>
      <c r="E4" s="367"/>
      <c r="F4" s="367"/>
      <c r="G4" s="367"/>
      <c r="H4" s="367"/>
      <c r="I4" s="367"/>
      <c r="J4" s="367"/>
      <c r="K4" s="367"/>
      <c r="L4" s="367"/>
      <c r="M4" s="367"/>
      <c r="N4" s="367"/>
      <c r="O4" s="367"/>
      <c r="P4" s="367"/>
      <c r="Q4" s="367"/>
      <c r="R4" s="367"/>
      <c r="S4" s="367"/>
      <c r="T4" s="367"/>
    </row>
    <row r="6" spans="1:20" x14ac:dyDescent="0.25">
      <c r="A6" s="367" t="str">
        <f>'BL-1'!A4:L4</f>
        <v>DEPARTMENT OF ARTIFICIAL INTELLIGENCE AND DATA SCIENCE</v>
      </c>
      <c r="B6" s="367"/>
      <c r="C6" s="367"/>
      <c r="D6" s="367"/>
      <c r="E6" s="367"/>
      <c r="F6" s="367"/>
      <c r="G6" s="367"/>
      <c r="H6" s="367"/>
      <c r="I6" s="367"/>
      <c r="J6" s="367"/>
      <c r="K6" s="367"/>
      <c r="L6" s="367"/>
      <c r="M6" s="367"/>
      <c r="N6" s="367"/>
      <c r="O6" s="367"/>
      <c r="P6" s="367"/>
      <c r="Q6" s="367"/>
      <c r="R6" s="367"/>
      <c r="S6" s="367"/>
      <c r="T6" s="367"/>
    </row>
    <row r="7" spans="1:20" x14ac:dyDescent="0.25">
      <c r="A7" s="367" t="s">
        <v>195</v>
      </c>
      <c r="B7" s="367"/>
      <c r="C7" s="367"/>
      <c r="D7" s="367"/>
      <c r="E7" s="367"/>
      <c r="F7" s="367"/>
      <c r="G7" s="367"/>
      <c r="H7" s="367"/>
      <c r="I7" s="367"/>
      <c r="J7" s="367"/>
      <c r="K7" s="367"/>
      <c r="L7" s="367"/>
      <c r="M7" s="367"/>
      <c r="N7" s="367"/>
      <c r="O7" s="367"/>
      <c r="P7" s="367"/>
      <c r="Q7" s="367"/>
      <c r="R7" s="367"/>
      <c r="S7" s="367"/>
      <c r="T7" s="367"/>
    </row>
    <row r="8" spans="1:20" x14ac:dyDescent="0.25">
      <c r="A8" s="367" t="s">
        <v>311</v>
      </c>
      <c r="B8" s="367"/>
      <c r="C8" s="367"/>
      <c r="D8" s="367"/>
      <c r="E8" s="367"/>
      <c r="F8" s="367"/>
      <c r="G8" s="367"/>
      <c r="H8" s="367"/>
      <c r="I8" s="367"/>
      <c r="J8" s="367"/>
      <c r="K8" s="367"/>
      <c r="L8" s="367"/>
      <c r="M8" s="367"/>
      <c r="N8" s="367"/>
      <c r="O8" s="367"/>
      <c r="P8" s="367"/>
      <c r="Q8" s="367"/>
      <c r="R8" s="367"/>
      <c r="S8" s="367"/>
      <c r="T8" s="367"/>
    </row>
    <row r="9" spans="1:20" x14ac:dyDescent="0.25">
      <c r="A9" s="174"/>
      <c r="B9" s="174"/>
      <c r="C9" s="174"/>
      <c r="D9" s="174"/>
      <c r="E9" s="174"/>
      <c r="F9" s="174"/>
      <c r="G9" s="174"/>
      <c r="H9" s="174"/>
      <c r="I9" s="174"/>
      <c r="J9" s="174"/>
      <c r="K9" s="174"/>
      <c r="L9" s="174"/>
      <c r="M9" s="174"/>
      <c r="N9" s="174"/>
      <c r="O9" s="174"/>
      <c r="P9" s="174"/>
      <c r="Q9" s="174"/>
      <c r="R9" s="174"/>
      <c r="S9" s="174"/>
      <c r="T9" s="174"/>
    </row>
    <row r="10" spans="1:20" x14ac:dyDescent="0.25">
      <c r="A10" s="361" t="str">
        <f>'I1'!A10:J10</f>
        <v>COURSE CODE / NAME: CW3551 DATA AND INFORMATION SECURITY</v>
      </c>
      <c r="B10" s="361"/>
      <c r="C10" s="361"/>
      <c r="D10" s="361"/>
      <c r="E10" s="361"/>
      <c r="F10" s="361"/>
      <c r="G10" s="361"/>
      <c r="H10" s="361"/>
      <c r="I10" s="361"/>
      <c r="J10" s="361"/>
      <c r="K10" s="175"/>
      <c r="L10" s="176" t="s">
        <v>196</v>
      </c>
      <c r="M10" s="176"/>
      <c r="N10" s="176" t="str">
        <f>'I1'!N10</f>
        <v>2023-27</v>
      </c>
      <c r="O10" s="176"/>
      <c r="R10" s="176"/>
      <c r="S10" s="176" t="s">
        <v>197</v>
      </c>
      <c r="T10" s="176">
        <f>'I1'!T10</f>
        <v>5</v>
      </c>
    </row>
    <row r="11" spans="1:20" x14ac:dyDescent="0.25">
      <c r="A11" s="361" t="str">
        <f>'BL-1'!A9:H9</f>
        <v>COURSE INSTRUCTOR/DESIGNATION: G. ALISHA EVANGELINE,AP/ADS</v>
      </c>
      <c r="B11" s="361"/>
      <c r="C11" s="361"/>
      <c r="D11" s="361"/>
      <c r="E11" s="361"/>
      <c r="F11" s="361"/>
      <c r="G11" s="361"/>
      <c r="H11" s="361"/>
      <c r="I11" s="361"/>
      <c r="J11" s="361"/>
      <c r="K11" s="175"/>
      <c r="L11" s="176" t="s">
        <v>198</v>
      </c>
      <c r="M11" s="176"/>
      <c r="N11" s="176" t="str">
        <f>'I1'!N11</f>
        <v>III ADS</v>
      </c>
      <c r="O11" s="173"/>
      <c r="Q11" s="173"/>
      <c r="R11" s="173"/>
      <c r="S11" s="173"/>
    </row>
    <row r="12" spans="1:20" x14ac:dyDescent="0.25">
      <c r="L12" s="177"/>
      <c r="M12" s="177"/>
      <c r="N12" s="177"/>
      <c r="O12" s="177"/>
      <c r="P12" s="177"/>
      <c r="Q12" s="177"/>
      <c r="R12" s="177"/>
      <c r="S12" s="177"/>
      <c r="T12" s="178"/>
    </row>
    <row r="13" spans="1:20" ht="18" customHeight="1" x14ac:dyDescent="0.25">
      <c r="A13" s="362" t="s">
        <v>199</v>
      </c>
      <c r="B13" s="362" t="s">
        <v>200</v>
      </c>
      <c r="C13" s="362" t="s">
        <v>8</v>
      </c>
      <c r="D13" s="363" t="s">
        <v>201</v>
      </c>
      <c r="E13" s="363"/>
      <c r="F13" s="363"/>
      <c r="G13" s="363"/>
      <c r="H13" s="363"/>
      <c r="I13" s="363" t="s">
        <v>202</v>
      </c>
      <c r="J13" s="363"/>
      <c r="K13" s="363"/>
      <c r="L13" s="363"/>
      <c r="M13" s="363"/>
      <c r="N13" s="363"/>
      <c r="O13" s="363"/>
      <c r="P13" s="363"/>
      <c r="Q13" s="363"/>
      <c r="R13" s="363"/>
      <c r="S13" s="364" t="s">
        <v>203</v>
      </c>
      <c r="T13" s="364" t="s">
        <v>204</v>
      </c>
    </row>
    <row r="14" spans="1:20" ht="19.350000000000001" customHeight="1" x14ac:dyDescent="0.25">
      <c r="A14" s="362"/>
      <c r="B14" s="362"/>
      <c r="C14" s="362"/>
      <c r="D14" s="179">
        <v>1</v>
      </c>
      <c r="E14" s="179">
        <v>2</v>
      </c>
      <c r="F14" s="179">
        <v>3</v>
      </c>
      <c r="G14" s="179">
        <v>4</v>
      </c>
      <c r="H14" s="179">
        <v>5</v>
      </c>
      <c r="I14" s="179" t="s">
        <v>205</v>
      </c>
      <c r="J14" s="179" t="s">
        <v>206</v>
      </c>
      <c r="K14" s="179" t="s">
        <v>207</v>
      </c>
      <c r="L14" s="179" t="s">
        <v>208</v>
      </c>
      <c r="M14" s="179" t="s">
        <v>209</v>
      </c>
      <c r="N14" s="179" t="s">
        <v>210</v>
      </c>
      <c r="O14" s="179" t="s">
        <v>211</v>
      </c>
      <c r="P14" s="179" t="s">
        <v>212</v>
      </c>
      <c r="Q14" s="179" t="s">
        <v>213</v>
      </c>
      <c r="R14" s="179" t="s">
        <v>214</v>
      </c>
      <c r="S14" s="364"/>
      <c r="T14" s="364"/>
    </row>
    <row r="15" spans="1:20" ht="19.350000000000001" customHeight="1" x14ac:dyDescent="0.25">
      <c r="A15" s="180">
        <v>1</v>
      </c>
      <c r="B15" s="181">
        <f>'I1'!B15</f>
        <v>951323243001</v>
      </c>
      <c r="C15" s="182" t="str">
        <f>'I1'!C15</f>
        <v>ABINAYA S</v>
      </c>
      <c r="D15" s="183"/>
      <c r="E15" s="183"/>
      <c r="F15" s="183"/>
      <c r="G15" s="183"/>
      <c r="H15" s="183"/>
      <c r="I15" s="183"/>
      <c r="J15" s="183"/>
      <c r="K15" s="183"/>
      <c r="L15" s="183"/>
      <c r="M15" s="183"/>
      <c r="N15" s="183"/>
      <c r="O15" s="183"/>
      <c r="P15" s="183"/>
      <c r="Q15" s="183"/>
      <c r="R15" s="183"/>
      <c r="S15" s="183"/>
      <c r="T15" s="183"/>
    </row>
    <row r="16" spans="1:20" ht="19.350000000000001" customHeight="1" x14ac:dyDescent="0.25">
      <c r="A16" s="180">
        <v>2</v>
      </c>
      <c r="B16" s="181">
        <f>'I1'!B16</f>
        <v>951323243002</v>
      </c>
      <c r="C16" s="182" t="str">
        <f>'I1'!C16</f>
        <v>ABISHEK S</v>
      </c>
      <c r="D16" s="183"/>
      <c r="E16" s="183"/>
      <c r="F16" s="183"/>
      <c r="G16" s="183"/>
      <c r="H16" s="183"/>
      <c r="I16" s="183"/>
      <c r="J16" s="183"/>
      <c r="K16" s="183"/>
      <c r="L16" s="183"/>
      <c r="M16" s="183"/>
      <c r="N16" s="183"/>
      <c r="O16" s="183"/>
      <c r="P16" s="183"/>
      <c r="Q16" s="183"/>
      <c r="R16" s="183"/>
      <c r="S16" s="183"/>
      <c r="T16" s="183"/>
    </row>
    <row r="17" spans="1:20" ht="19.350000000000001" customHeight="1" x14ac:dyDescent="0.25">
      <c r="A17" s="180">
        <v>3</v>
      </c>
      <c r="B17" s="181">
        <f>'I1'!B17</f>
        <v>951323243003</v>
      </c>
      <c r="C17" s="182" t="str">
        <f>'I1'!C17</f>
        <v>AJEETHA S</v>
      </c>
      <c r="D17" s="183"/>
      <c r="E17" s="183"/>
      <c r="F17" s="183"/>
      <c r="G17" s="183"/>
      <c r="H17" s="183"/>
      <c r="I17" s="183"/>
      <c r="J17" s="183"/>
      <c r="K17" s="183"/>
      <c r="L17" s="183"/>
      <c r="M17" s="183"/>
      <c r="N17" s="183"/>
      <c r="O17" s="183"/>
      <c r="P17" s="183"/>
      <c r="Q17" s="183"/>
      <c r="R17" s="183"/>
      <c r="S17" s="183"/>
      <c r="T17" s="183"/>
    </row>
    <row r="18" spans="1:20" ht="19.350000000000001" customHeight="1" x14ac:dyDescent="0.25">
      <c r="A18" s="180">
        <v>4</v>
      </c>
      <c r="B18" s="181">
        <f>'I1'!B18</f>
        <v>951323243004</v>
      </c>
      <c r="C18" s="182" t="str">
        <f>'I1'!C18</f>
        <v>AJIM FAYAZ K M S</v>
      </c>
      <c r="D18" s="183"/>
      <c r="E18" s="183"/>
      <c r="F18" s="183"/>
      <c r="G18" s="183"/>
      <c r="H18" s="183"/>
      <c r="I18" s="183"/>
      <c r="J18" s="183"/>
      <c r="K18" s="183"/>
      <c r="L18" s="183"/>
      <c r="M18" s="183"/>
      <c r="N18" s="183"/>
      <c r="O18" s="183"/>
      <c r="P18" s="183"/>
      <c r="Q18" s="183"/>
      <c r="R18" s="183"/>
      <c r="S18" s="183"/>
      <c r="T18" s="183"/>
    </row>
    <row r="19" spans="1:20" ht="19.350000000000001" customHeight="1" x14ac:dyDescent="0.25">
      <c r="A19" s="180">
        <v>5</v>
      </c>
      <c r="B19" s="181">
        <f>'I1'!B19</f>
        <v>951323243005</v>
      </c>
      <c r="C19" s="182" t="str">
        <f>'I1'!C19</f>
        <v>ALPHONES CRUZ NAVEEN J</v>
      </c>
      <c r="D19" s="183"/>
      <c r="E19" s="183"/>
      <c r="F19" s="183"/>
      <c r="G19" s="183"/>
      <c r="H19" s="183"/>
      <c r="I19" s="183"/>
      <c r="J19" s="183"/>
      <c r="K19" s="183"/>
      <c r="L19" s="183"/>
      <c r="M19" s="183"/>
      <c r="N19" s="183"/>
      <c r="O19" s="183"/>
      <c r="P19" s="183"/>
      <c r="Q19" s="183"/>
      <c r="R19" s="183"/>
      <c r="S19" s="183"/>
      <c r="T19" s="183"/>
    </row>
    <row r="20" spans="1:20" ht="19.350000000000001" customHeight="1" x14ac:dyDescent="0.25">
      <c r="A20" s="180">
        <v>6</v>
      </c>
      <c r="B20" s="181">
        <f>'I1'!B20</f>
        <v>951323243006</v>
      </c>
      <c r="C20" s="182" t="str">
        <f>'I1'!C20</f>
        <v>ANGEL AGNES D</v>
      </c>
      <c r="D20" s="183"/>
      <c r="E20" s="183"/>
      <c r="F20" s="183"/>
      <c r="G20" s="183"/>
      <c r="H20" s="183"/>
      <c r="I20" s="183"/>
      <c r="J20" s="183"/>
      <c r="K20" s="183"/>
      <c r="L20" s="183"/>
      <c r="M20" s="183"/>
      <c r="N20" s="183"/>
      <c r="O20" s="183"/>
      <c r="P20" s="183"/>
      <c r="Q20" s="183"/>
      <c r="R20" s="183"/>
      <c r="S20" s="183"/>
      <c r="T20" s="183"/>
    </row>
    <row r="21" spans="1:20" ht="19.350000000000001" customHeight="1" x14ac:dyDescent="0.25">
      <c r="A21" s="180">
        <v>7</v>
      </c>
      <c r="B21" s="181">
        <f>'I1'!B21</f>
        <v>951323243007</v>
      </c>
      <c r="C21" s="182" t="str">
        <f>'I1'!C21</f>
        <v>ANUSHA P</v>
      </c>
      <c r="D21" s="183"/>
      <c r="E21" s="183"/>
      <c r="F21" s="183"/>
      <c r="G21" s="183"/>
      <c r="H21" s="183"/>
      <c r="I21" s="183"/>
      <c r="J21" s="183"/>
      <c r="K21" s="183"/>
      <c r="L21" s="183"/>
      <c r="M21" s="183"/>
      <c r="N21" s="183"/>
      <c r="O21" s="183"/>
      <c r="P21" s="183"/>
      <c r="Q21" s="183"/>
      <c r="R21" s="183"/>
      <c r="S21" s="183"/>
      <c r="T21" s="183"/>
    </row>
    <row r="22" spans="1:20" ht="19.350000000000001" customHeight="1" x14ac:dyDescent="0.25">
      <c r="A22" s="180">
        <v>8</v>
      </c>
      <c r="B22" s="181">
        <f>'I1'!B22</f>
        <v>951323243008</v>
      </c>
      <c r="C22" s="182" t="str">
        <f>'I1'!C22</f>
        <v>ARIBA M</v>
      </c>
      <c r="D22" s="183"/>
      <c r="E22" s="183"/>
      <c r="F22" s="183"/>
      <c r="G22" s="183"/>
      <c r="H22" s="183"/>
      <c r="I22" s="183"/>
      <c r="J22" s="183"/>
      <c r="K22" s="183"/>
      <c r="L22" s="183"/>
      <c r="M22" s="183"/>
      <c r="N22" s="183"/>
      <c r="O22" s="183"/>
      <c r="P22" s="183"/>
      <c r="Q22" s="183"/>
      <c r="R22" s="183"/>
      <c r="S22" s="183"/>
      <c r="T22" s="183"/>
    </row>
    <row r="23" spans="1:20" ht="19.350000000000001" customHeight="1" x14ac:dyDescent="0.25">
      <c r="A23" s="180">
        <v>9</v>
      </c>
      <c r="B23" s="181">
        <f>'I1'!B23</f>
        <v>951323243009</v>
      </c>
      <c r="C23" s="182" t="str">
        <f>'I1'!C23</f>
        <v>BALADHARSHINI S</v>
      </c>
      <c r="D23" s="183"/>
      <c r="E23" s="183"/>
      <c r="F23" s="183"/>
      <c r="G23" s="183"/>
      <c r="H23" s="183"/>
      <c r="I23" s="183"/>
      <c r="J23" s="183"/>
      <c r="K23" s="183"/>
      <c r="L23" s="183"/>
      <c r="M23" s="183"/>
      <c r="N23" s="183"/>
      <c r="O23" s="183"/>
      <c r="P23" s="183"/>
      <c r="Q23" s="183"/>
      <c r="R23" s="183"/>
      <c r="S23" s="183"/>
      <c r="T23" s="183"/>
    </row>
    <row r="24" spans="1:20" ht="19.350000000000001" customHeight="1" x14ac:dyDescent="0.25">
      <c r="A24" s="180">
        <v>10</v>
      </c>
      <c r="B24" s="181">
        <f>'I1'!B24</f>
        <v>951323243010</v>
      </c>
      <c r="C24" s="182" t="str">
        <f>'I1'!C24</f>
        <v>BALASANKAR AYYAPPAN M</v>
      </c>
      <c r="D24" s="183"/>
      <c r="E24" s="183"/>
      <c r="F24" s="183"/>
      <c r="G24" s="183"/>
      <c r="H24" s="183"/>
      <c r="I24" s="183"/>
      <c r="J24" s="183"/>
      <c r="K24" s="183"/>
      <c r="L24" s="183"/>
      <c r="M24" s="183"/>
      <c r="N24" s="183"/>
      <c r="O24" s="183"/>
      <c r="P24" s="183"/>
      <c r="Q24" s="183"/>
      <c r="R24" s="183"/>
      <c r="S24" s="183"/>
      <c r="T24" s="183"/>
    </row>
    <row r="25" spans="1:20" ht="19.350000000000001" customHeight="1" x14ac:dyDescent="0.25">
      <c r="A25" s="180">
        <v>11</v>
      </c>
      <c r="B25" s="181">
        <f>'I1'!B25</f>
        <v>951323243011</v>
      </c>
      <c r="C25" s="182" t="str">
        <f>'I1'!C25</f>
        <v>BALA SRI RAM G</v>
      </c>
      <c r="D25" s="183"/>
      <c r="E25" s="183"/>
      <c r="F25" s="183"/>
      <c r="G25" s="183"/>
      <c r="H25" s="183"/>
      <c r="I25" s="183"/>
      <c r="J25" s="183"/>
      <c r="K25" s="183"/>
      <c r="L25" s="183"/>
      <c r="M25" s="183"/>
      <c r="N25" s="183"/>
      <c r="O25" s="183"/>
      <c r="P25" s="183"/>
      <c r="Q25" s="183"/>
      <c r="R25" s="183"/>
      <c r="S25" s="183"/>
      <c r="T25" s="183"/>
    </row>
    <row r="26" spans="1:20" ht="19.350000000000001" customHeight="1" x14ac:dyDescent="0.25">
      <c r="A26" s="180">
        <v>12</v>
      </c>
      <c r="B26" s="181">
        <f>'I1'!B26</f>
        <v>951323243012</v>
      </c>
      <c r="C26" s="182" t="str">
        <f>'I1'!C26</f>
        <v>BENJAMINE FRANKLIN C</v>
      </c>
      <c r="D26" s="183"/>
      <c r="E26" s="183"/>
      <c r="F26" s="183"/>
      <c r="G26" s="183"/>
      <c r="H26" s="183"/>
      <c r="I26" s="183"/>
      <c r="J26" s="183"/>
      <c r="K26" s="183"/>
      <c r="L26" s="183"/>
      <c r="M26" s="183"/>
      <c r="N26" s="183"/>
      <c r="O26" s="183"/>
      <c r="P26" s="183"/>
      <c r="Q26" s="183"/>
      <c r="R26" s="183"/>
      <c r="S26" s="183"/>
      <c r="T26" s="183"/>
    </row>
    <row r="27" spans="1:20" ht="19.350000000000001" customHeight="1" x14ac:dyDescent="0.25">
      <c r="A27" s="180">
        <v>13</v>
      </c>
      <c r="B27" s="181">
        <f>'I1'!B27</f>
        <v>951323243013</v>
      </c>
      <c r="C27" s="182" t="str">
        <f>'I1'!C27</f>
        <v>CATHRINE R</v>
      </c>
      <c r="D27" s="183"/>
      <c r="E27" s="183"/>
      <c r="F27" s="183"/>
      <c r="G27" s="183"/>
      <c r="H27" s="183"/>
      <c r="I27" s="183"/>
      <c r="J27" s="183"/>
      <c r="K27" s="183"/>
      <c r="L27" s="183"/>
      <c r="M27" s="183"/>
      <c r="N27" s="183"/>
      <c r="O27" s="183"/>
      <c r="P27" s="183"/>
      <c r="Q27" s="183"/>
      <c r="R27" s="183"/>
      <c r="S27" s="183"/>
      <c r="T27" s="183"/>
    </row>
    <row r="28" spans="1:20" ht="19.350000000000001" customHeight="1" x14ac:dyDescent="0.25">
      <c r="A28" s="180">
        <v>14</v>
      </c>
      <c r="B28" s="181">
        <f>'I1'!B28</f>
        <v>951323243014</v>
      </c>
      <c r="C28" s="182" t="str">
        <f>'I1'!C28</f>
        <v>CHENGALESWARI K</v>
      </c>
      <c r="D28" s="183"/>
      <c r="E28" s="183"/>
      <c r="F28" s="183"/>
      <c r="G28" s="183"/>
      <c r="H28" s="183"/>
      <c r="I28" s="183"/>
      <c r="J28" s="183"/>
      <c r="K28" s="183"/>
      <c r="L28" s="183"/>
      <c r="M28" s="183"/>
      <c r="N28" s="183"/>
      <c r="O28" s="183"/>
      <c r="P28" s="183"/>
      <c r="Q28" s="183"/>
      <c r="R28" s="183"/>
      <c r="S28" s="183"/>
      <c r="T28" s="183"/>
    </row>
    <row r="29" spans="1:20" ht="19.350000000000001" customHeight="1" x14ac:dyDescent="0.25">
      <c r="A29" s="180">
        <v>15</v>
      </c>
      <c r="B29" s="181">
        <f>'I1'!B29</f>
        <v>951323243015</v>
      </c>
      <c r="C29" s="182" t="str">
        <f>'I1'!C29</f>
        <v>DEVI L</v>
      </c>
      <c r="D29" s="183"/>
      <c r="E29" s="183"/>
      <c r="F29" s="183"/>
      <c r="G29" s="183"/>
      <c r="H29" s="183"/>
      <c r="I29" s="183"/>
      <c r="J29" s="183"/>
      <c r="K29" s="183"/>
      <c r="L29" s="183"/>
      <c r="M29" s="183"/>
      <c r="N29" s="183"/>
      <c r="O29" s="183"/>
      <c r="P29" s="183"/>
      <c r="Q29" s="183"/>
      <c r="R29" s="183"/>
      <c r="S29" s="183"/>
      <c r="T29" s="183"/>
    </row>
    <row r="30" spans="1:20" ht="19.350000000000001" customHeight="1" x14ac:dyDescent="0.25">
      <c r="A30" s="180">
        <v>16</v>
      </c>
      <c r="B30" s="181">
        <f>'I1'!B30</f>
        <v>951323243016</v>
      </c>
      <c r="C30" s="182" t="str">
        <f>'I1'!C30</f>
        <v>DHARUN S</v>
      </c>
      <c r="D30" s="183"/>
      <c r="E30" s="183"/>
      <c r="F30" s="183"/>
      <c r="G30" s="183"/>
      <c r="H30" s="183"/>
      <c r="I30" s="183"/>
      <c r="J30" s="183"/>
      <c r="K30" s="183"/>
      <c r="L30" s="183"/>
      <c r="M30" s="183"/>
      <c r="N30" s="183"/>
      <c r="O30" s="183"/>
      <c r="P30" s="183"/>
      <c r="Q30" s="183"/>
      <c r="R30" s="183"/>
      <c r="S30" s="183"/>
      <c r="T30" s="183"/>
    </row>
    <row r="31" spans="1:20" ht="19.350000000000001" customHeight="1" x14ac:dyDescent="0.25">
      <c r="A31" s="180">
        <v>17</v>
      </c>
      <c r="B31" s="181">
        <f>'I1'!B31</f>
        <v>951323243017</v>
      </c>
      <c r="C31" s="182" t="str">
        <f>'I1'!C31</f>
        <v>EAKANTHALINGAM R</v>
      </c>
      <c r="D31" s="183"/>
      <c r="E31" s="183"/>
      <c r="F31" s="183"/>
      <c r="G31" s="183"/>
      <c r="H31" s="183"/>
      <c r="I31" s="183"/>
      <c r="J31" s="183"/>
      <c r="K31" s="183"/>
      <c r="L31" s="183"/>
      <c r="M31" s="183"/>
      <c r="N31" s="183"/>
      <c r="O31" s="183"/>
      <c r="P31" s="183"/>
      <c r="Q31" s="183"/>
      <c r="R31" s="183"/>
      <c r="S31" s="183"/>
      <c r="T31" s="183"/>
    </row>
    <row r="32" spans="1:20" ht="19.350000000000001" customHeight="1" x14ac:dyDescent="0.25">
      <c r="A32" s="180">
        <v>18</v>
      </c>
      <c r="B32" s="181">
        <f>'I1'!B32</f>
        <v>951323243018</v>
      </c>
      <c r="C32" s="182" t="str">
        <f>'I1'!C32</f>
        <v>EFRIN THANASEKARAN J</v>
      </c>
      <c r="D32" s="183"/>
      <c r="E32" s="183"/>
      <c r="F32" s="183"/>
      <c r="G32" s="183"/>
      <c r="H32" s="183"/>
      <c r="I32" s="183"/>
      <c r="J32" s="183"/>
      <c r="K32" s="183"/>
      <c r="L32" s="183"/>
      <c r="M32" s="183"/>
      <c r="N32" s="183"/>
      <c r="O32" s="183"/>
      <c r="P32" s="183"/>
      <c r="Q32" s="183"/>
      <c r="R32" s="183"/>
      <c r="S32" s="183"/>
      <c r="T32" s="183"/>
    </row>
    <row r="33" spans="1:20" ht="19.350000000000001" customHeight="1" x14ac:dyDescent="0.25">
      <c r="A33" s="180">
        <v>19</v>
      </c>
      <c r="B33" s="181">
        <f>'I1'!B33</f>
        <v>951323243019</v>
      </c>
      <c r="C33" s="182" t="str">
        <f>'I1'!C33</f>
        <v>GAYATHRI M</v>
      </c>
      <c r="D33" s="183"/>
      <c r="E33" s="183"/>
      <c r="F33" s="183"/>
      <c r="G33" s="183"/>
      <c r="H33" s="183"/>
      <c r="I33" s="183"/>
      <c r="J33" s="183"/>
      <c r="K33" s="183"/>
      <c r="L33" s="183"/>
      <c r="M33" s="183"/>
      <c r="N33" s="183"/>
      <c r="O33" s="183"/>
      <c r="P33" s="183"/>
      <c r="Q33" s="183"/>
      <c r="R33" s="183"/>
      <c r="S33" s="183"/>
      <c r="T33" s="183"/>
    </row>
    <row r="34" spans="1:20" ht="19.350000000000001" customHeight="1" x14ac:dyDescent="0.25">
      <c r="A34" s="180">
        <v>20</v>
      </c>
      <c r="B34" s="181">
        <f>'I1'!B34</f>
        <v>951323243020</v>
      </c>
      <c r="C34" s="182" t="str">
        <f>'I1'!C34</f>
        <v>GOKILA G</v>
      </c>
      <c r="D34" s="183"/>
      <c r="E34" s="183"/>
      <c r="F34" s="183"/>
      <c r="G34" s="183"/>
      <c r="H34" s="183"/>
      <c r="I34" s="183"/>
      <c r="J34" s="183"/>
      <c r="K34" s="183"/>
      <c r="L34" s="183"/>
      <c r="M34" s="183"/>
      <c r="N34" s="183"/>
      <c r="O34" s="183"/>
      <c r="P34" s="183"/>
      <c r="Q34" s="183"/>
      <c r="R34" s="183"/>
      <c r="S34" s="183"/>
      <c r="T34" s="183"/>
    </row>
    <row r="35" spans="1:20" ht="19.350000000000001" customHeight="1" x14ac:dyDescent="0.25">
      <c r="A35" s="180">
        <v>21</v>
      </c>
      <c r="B35" s="181">
        <f>'I1'!B35</f>
        <v>951323243021</v>
      </c>
      <c r="C35" s="182" t="str">
        <f>'I1'!C35</f>
        <v>GOWRI KRISHNAVENI N</v>
      </c>
      <c r="D35" s="183"/>
      <c r="E35" s="183"/>
      <c r="F35" s="183"/>
      <c r="G35" s="183"/>
      <c r="H35" s="183"/>
      <c r="I35" s="183"/>
      <c r="J35" s="183"/>
      <c r="K35" s="183"/>
      <c r="L35" s="183"/>
      <c r="M35" s="183"/>
      <c r="N35" s="183"/>
      <c r="O35" s="183"/>
      <c r="P35" s="183"/>
      <c r="Q35" s="183"/>
      <c r="R35" s="183"/>
      <c r="S35" s="183"/>
      <c r="T35" s="183"/>
    </row>
    <row r="36" spans="1:20" ht="19.350000000000001" customHeight="1" x14ac:dyDescent="0.25">
      <c r="A36" s="180">
        <v>22</v>
      </c>
      <c r="B36" s="181">
        <f>'I1'!B36</f>
        <v>951323243022</v>
      </c>
      <c r="C36" s="182" t="str">
        <f>'I1'!C36</f>
        <v>HEART BRIGHT MERCY S</v>
      </c>
      <c r="D36" s="183"/>
      <c r="E36" s="183"/>
      <c r="F36" s="183"/>
      <c r="G36" s="183"/>
      <c r="H36" s="183"/>
      <c r="I36" s="183"/>
      <c r="J36" s="183"/>
      <c r="K36" s="183"/>
      <c r="L36" s="183"/>
      <c r="M36" s="183"/>
      <c r="N36" s="183"/>
      <c r="O36" s="183"/>
      <c r="P36" s="183"/>
      <c r="Q36" s="183"/>
      <c r="R36" s="183"/>
      <c r="S36" s="183"/>
      <c r="T36" s="183"/>
    </row>
    <row r="37" spans="1:20" ht="19.350000000000001" customHeight="1" x14ac:dyDescent="0.25">
      <c r="A37" s="180">
        <v>23</v>
      </c>
      <c r="B37" s="181">
        <f>'I1'!B37</f>
        <v>951323243023</v>
      </c>
      <c r="C37" s="182" t="str">
        <f>'I1'!C37</f>
        <v>INFANT EBINESH R</v>
      </c>
      <c r="D37" s="183"/>
      <c r="E37" s="183"/>
      <c r="F37" s="183"/>
      <c r="G37" s="183"/>
      <c r="H37" s="183"/>
      <c r="I37" s="183"/>
      <c r="J37" s="183"/>
      <c r="K37" s="183"/>
      <c r="L37" s="183"/>
      <c r="M37" s="183"/>
      <c r="N37" s="183"/>
      <c r="O37" s="183"/>
      <c r="P37" s="183"/>
      <c r="Q37" s="183"/>
      <c r="R37" s="183"/>
      <c r="S37" s="183"/>
      <c r="T37" s="183"/>
    </row>
    <row r="38" spans="1:20" ht="19.350000000000001" customHeight="1" x14ac:dyDescent="0.25">
      <c r="A38" s="180">
        <v>24</v>
      </c>
      <c r="B38" s="181">
        <f>'I1'!B38</f>
        <v>951323243024</v>
      </c>
      <c r="C38" s="182" t="str">
        <f>'I1'!C38</f>
        <v>JAI SURYA N</v>
      </c>
      <c r="D38" s="183"/>
      <c r="E38" s="183"/>
      <c r="F38" s="183"/>
      <c r="G38" s="183"/>
      <c r="H38" s="183"/>
      <c r="I38" s="183"/>
      <c r="J38" s="183"/>
      <c r="K38" s="183"/>
      <c r="L38" s="183"/>
      <c r="M38" s="183"/>
      <c r="N38" s="183"/>
      <c r="O38" s="183"/>
      <c r="P38" s="183"/>
      <c r="Q38" s="183"/>
      <c r="R38" s="183"/>
      <c r="S38" s="183"/>
      <c r="T38" s="183"/>
    </row>
    <row r="39" spans="1:20" ht="19.350000000000001" customHeight="1" x14ac:dyDescent="0.25">
      <c r="A39" s="180">
        <v>25</v>
      </c>
      <c r="B39" s="181">
        <f>'I1'!B39</f>
        <v>951323243025</v>
      </c>
      <c r="C39" s="182" t="str">
        <f>'I1'!C39</f>
        <v>JANI ALICE THIRSA J</v>
      </c>
      <c r="D39" s="183"/>
      <c r="E39" s="183"/>
      <c r="F39" s="183"/>
      <c r="G39" s="183"/>
      <c r="H39" s="183"/>
      <c r="I39" s="183"/>
      <c r="J39" s="183"/>
      <c r="K39" s="183"/>
      <c r="L39" s="183"/>
      <c r="M39" s="183"/>
      <c r="N39" s="183"/>
      <c r="O39" s="183"/>
      <c r="P39" s="183"/>
      <c r="Q39" s="183"/>
      <c r="R39" s="183"/>
      <c r="S39" s="183"/>
      <c r="T39" s="183"/>
    </row>
    <row r="40" spans="1:20" ht="19.350000000000001" customHeight="1" x14ac:dyDescent="0.25">
      <c r="A40" s="180">
        <v>26</v>
      </c>
      <c r="B40" s="181">
        <f>'I1'!B40</f>
        <v>951323243026</v>
      </c>
      <c r="C40" s="182" t="str">
        <f>'I1'!C40</f>
        <v>JEBA A</v>
      </c>
      <c r="D40" s="183"/>
      <c r="E40" s="183"/>
      <c r="F40" s="183"/>
      <c r="G40" s="183"/>
      <c r="H40" s="183"/>
      <c r="I40" s="183"/>
      <c r="J40" s="183"/>
      <c r="K40" s="183"/>
      <c r="L40" s="183"/>
      <c r="M40" s="183"/>
      <c r="N40" s="183"/>
      <c r="O40" s="183"/>
      <c r="P40" s="183"/>
      <c r="Q40" s="183"/>
      <c r="R40" s="183"/>
      <c r="S40" s="183"/>
      <c r="T40" s="183"/>
    </row>
    <row r="41" spans="1:20" ht="19.350000000000001" customHeight="1" x14ac:dyDescent="0.25">
      <c r="A41" s="180">
        <v>27</v>
      </c>
      <c r="B41" s="181">
        <f>'I1'!B41</f>
        <v>951323243027</v>
      </c>
      <c r="C41" s="182" t="str">
        <f>'I1'!C41</f>
        <v>JENIFER E</v>
      </c>
      <c r="D41" s="183"/>
      <c r="E41" s="183"/>
      <c r="F41" s="183"/>
      <c r="G41" s="183"/>
      <c r="H41" s="183"/>
      <c r="I41" s="183"/>
      <c r="J41" s="183"/>
      <c r="K41" s="183"/>
      <c r="L41" s="183"/>
      <c r="M41" s="183"/>
      <c r="N41" s="183"/>
      <c r="O41" s="183"/>
      <c r="P41" s="183"/>
      <c r="Q41" s="183"/>
      <c r="R41" s="183"/>
      <c r="S41" s="183"/>
      <c r="T41" s="183"/>
    </row>
    <row r="42" spans="1:20" ht="19.350000000000001" customHeight="1" x14ac:dyDescent="0.25">
      <c r="A42" s="180">
        <v>28</v>
      </c>
      <c r="B42" s="181">
        <f>'I1'!B42</f>
        <v>951323243028</v>
      </c>
      <c r="C42" s="182" t="str">
        <f>'I1'!C42</f>
        <v>JENITTA CATHERIN R</v>
      </c>
      <c r="D42" s="183"/>
      <c r="E42" s="183"/>
      <c r="F42" s="183"/>
      <c r="G42" s="183"/>
      <c r="H42" s="183"/>
      <c r="I42" s="183"/>
      <c r="J42" s="183"/>
      <c r="K42" s="183"/>
      <c r="L42" s="183"/>
      <c r="M42" s="183"/>
      <c r="N42" s="183"/>
      <c r="O42" s="183"/>
      <c r="P42" s="183"/>
      <c r="Q42" s="183"/>
      <c r="R42" s="183"/>
      <c r="S42" s="183"/>
      <c r="T42" s="183"/>
    </row>
    <row r="43" spans="1:20" ht="19.350000000000001" customHeight="1" x14ac:dyDescent="0.25">
      <c r="A43" s="180">
        <v>29</v>
      </c>
      <c r="B43" s="181">
        <f>'I1'!B43</f>
        <v>951323243029</v>
      </c>
      <c r="C43" s="182" t="str">
        <f>'I1'!C43</f>
        <v>JEYACHITHRA K</v>
      </c>
      <c r="D43" s="183"/>
      <c r="E43" s="183"/>
      <c r="F43" s="183"/>
      <c r="G43" s="183"/>
      <c r="H43" s="183"/>
      <c r="I43" s="183"/>
      <c r="J43" s="183"/>
      <c r="K43" s="183"/>
      <c r="L43" s="183"/>
      <c r="M43" s="183"/>
      <c r="N43" s="183"/>
      <c r="O43" s="183"/>
      <c r="P43" s="183"/>
      <c r="Q43" s="183"/>
      <c r="R43" s="183"/>
      <c r="S43" s="183"/>
      <c r="T43" s="183"/>
    </row>
    <row r="44" spans="1:20" ht="19.350000000000001" customHeight="1" x14ac:dyDescent="0.25">
      <c r="A44" s="180">
        <v>30</v>
      </c>
      <c r="B44" s="181">
        <f>'I1'!B44</f>
        <v>951323243030</v>
      </c>
      <c r="C44" s="182" t="str">
        <f>'I1'!C44</f>
        <v>JOSVA PRINCE R</v>
      </c>
      <c r="D44" s="183"/>
      <c r="E44" s="183"/>
      <c r="F44" s="183"/>
      <c r="G44" s="183"/>
      <c r="H44" s="183"/>
      <c r="I44" s="183"/>
      <c r="J44" s="183"/>
      <c r="K44" s="183"/>
      <c r="L44" s="183"/>
      <c r="M44" s="183"/>
      <c r="N44" s="183"/>
      <c r="O44" s="183"/>
      <c r="P44" s="183"/>
      <c r="Q44" s="183"/>
      <c r="R44" s="183"/>
      <c r="S44" s="183"/>
      <c r="T44" s="183"/>
    </row>
    <row r="45" spans="1:20" ht="19.350000000000001" customHeight="1" x14ac:dyDescent="0.25">
      <c r="A45" s="180">
        <v>31</v>
      </c>
      <c r="B45" s="181">
        <f>'I1'!B45</f>
        <v>951323243031</v>
      </c>
      <c r="C45" s="182" t="str">
        <f>'I1'!C45</f>
        <v>KALAI SELVAN VINOTH P</v>
      </c>
      <c r="D45" s="183"/>
      <c r="E45" s="183"/>
      <c r="F45" s="183"/>
      <c r="G45" s="183"/>
      <c r="H45" s="183"/>
      <c r="I45" s="183"/>
      <c r="J45" s="183"/>
      <c r="K45" s="183"/>
      <c r="L45" s="183"/>
      <c r="M45" s="183"/>
      <c r="N45" s="183"/>
      <c r="O45" s="183"/>
      <c r="P45" s="183"/>
      <c r="Q45" s="183"/>
      <c r="R45" s="183"/>
      <c r="S45" s="183"/>
      <c r="T45" s="183"/>
    </row>
    <row r="46" spans="1:20" ht="19.350000000000001" customHeight="1" x14ac:dyDescent="0.25">
      <c r="A46" s="180">
        <v>32</v>
      </c>
      <c r="B46" s="181">
        <f>'I1'!B46</f>
        <v>951323243032</v>
      </c>
      <c r="C46" s="182" t="str">
        <f>'I1'!C46</f>
        <v>LAKSHMANAN SARATHI S</v>
      </c>
      <c r="D46" s="183"/>
      <c r="E46" s="183"/>
      <c r="F46" s="183"/>
      <c r="G46" s="183"/>
      <c r="H46" s="183"/>
      <c r="I46" s="183"/>
      <c r="J46" s="183"/>
      <c r="K46" s="183"/>
      <c r="L46" s="183"/>
      <c r="M46" s="183"/>
      <c r="N46" s="183"/>
      <c r="O46" s="183"/>
      <c r="P46" s="183"/>
      <c r="Q46" s="183"/>
      <c r="R46" s="183"/>
      <c r="S46" s="183"/>
      <c r="T46" s="183"/>
    </row>
    <row r="47" spans="1:20" ht="19.350000000000001" customHeight="1" x14ac:dyDescent="0.25">
      <c r="A47" s="180">
        <v>33</v>
      </c>
      <c r="B47" s="181">
        <f>'I1'!B47</f>
        <v>951323243033</v>
      </c>
      <c r="C47" s="182" t="str">
        <f>'I1'!C47</f>
        <v>LIJO DURAISINGH V S</v>
      </c>
      <c r="D47" s="183"/>
      <c r="E47" s="183"/>
      <c r="F47" s="183"/>
      <c r="G47" s="183"/>
      <c r="H47" s="183"/>
      <c r="I47" s="183"/>
      <c r="J47" s="183"/>
      <c r="K47" s="183"/>
      <c r="L47" s="183"/>
      <c r="M47" s="183"/>
      <c r="N47" s="183"/>
      <c r="O47" s="183"/>
      <c r="P47" s="183"/>
      <c r="Q47" s="183"/>
      <c r="R47" s="183"/>
      <c r="S47" s="183"/>
      <c r="T47" s="183"/>
    </row>
    <row r="48" spans="1:20" ht="20.100000000000001" customHeight="1" x14ac:dyDescent="0.25">
      <c r="A48" s="180">
        <v>34</v>
      </c>
      <c r="B48" s="181">
        <f>'I1'!B48</f>
        <v>951323243034</v>
      </c>
      <c r="C48" s="182" t="str">
        <f>'I1'!C48</f>
        <v>LOVISAL JOY K</v>
      </c>
      <c r="D48" s="183"/>
      <c r="E48" s="183"/>
      <c r="F48" s="183"/>
      <c r="G48" s="183"/>
      <c r="H48" s="183"/>
      <c r="I48" s="183"/>
      <c r="J48" s="183"/>
      <c r="K48" s="183"/>
      <c r="L48" s="183"/>
      <c r="M48" s="183"/>
      <c r="N48" s="183"/>
      <c r="O48" s="183"/>
      <c r="P48" s="183"/>
      <c r="Q48" s="183"/>
      <c r="R48" s="183"/>
      <c r="S48" s="183"/>
      <c r="T48" s="183"/>
    </row>
    <row r="49" spans="1:20" ht="20.100000000000001" customHeight="1" x14ac:dyDescent="0.25">
      <c r="A49" s="180">
        <v>35</v>
      </c>
      <c r="B49" s="181">
        <f>'I1'!B49</f>
        <v>951323243035</v>
      </c>
      <c r="C49" s="182" t="str">
        <f>'I1'!C49</f>
        <v>MAGESH GOWRI S</v>
      </c>
      <c r="D49" s="183"/>
      <c r="E49" s="183"/>
      <c r="F49" s="183"/>
      <c r="G49" s="183"/>
      <c r="H49" s="183"/>
      <c r="I49" s="183"/>
      <c r="J49" s="183"/>
      <c r="K49" s="183"/>
      <c r="L49" s="183"/>
      <c r="M49" s="183"/>
      <c r="N49" s="183"/>
      <c r="O49" s="183"/>
      <c r="P49" s="183"/>
      <c r="Q49" s="183"/>
      <c r="R49" s="183"/>
      <c r="S49" s="183"/>
      <c r="T49" s="183"/>
    </row>
    <row r="50" spans="1:20" ht="19.350000000000001" customHeight="1" x14ac:dyDescent="0.25">
      <c r="A50" s="180">
        <v>36</v>
      </c>
      <c r="B50" s="181">
        <f>'I1'!B50</f>
        <v>951323243036</v>
      </c>
      <c r="C50" s="182" t="str">
        <f>'I1'!C50</f>
        <v>MARIMUTHU S</v>
      </c>
      <c r="D50" s="183"/>
      <c r="E50" s="183"/>
      <c r="F50" s="183"/>
      <c r="G50" s="183"/>
      <c r="H50" s="183"/>
      <c r="I50" s="183"/>
      <c r="J50" s="183"/>
      <c r="K50" s="183"/>
      <c r="L50" s="183"/>
      <c r="M50" s="183"/>
      <c r="N50" s="183"/>
      <c r="O50" s="183"/>
      <c r="P50" s="183"/>
      <c r="Q50" s="183"/>
      <c r="R50" s="183"/>
      <c r="S50" s="183"/>
      <c r="T50" s="183"/>
    </row>
    <row r="51" spans="1:20" ht="19.350000000000001" customHeight="1" x14ac:dyDescent="0.25">
      <c r="A51" s="180">
        <v>37</v>
      </c>
      <c r="B51" s="181">
        <f>'I1'!B51</f>
        <v>951323243037</v>
      </c>
      <c r="C51" s="182" t="str">
        <f>'I1'!C51</f>
        <v>MARIYA FATHIMA JEYARANI R</v>
      </c>
      <c r="D51" s="183"/>
      <c r="E51" s="183"/>
      <c r="F51" s="183"/>
      <c r="G51" s="183"/>
      <c r="H51" s="183"/>
      <c r="I51" s="183"/>
      <c r="J51" s="183"/>
      <c r="K51" s="183"/>
      <c r="L51" s="183"/>
      <c r="M51" s="183"/>
      <c r="N51" s="183"/>
      <c r="O51" s="183"/>
      <c r="P51" s="183"/>
      <c r="Q51" s="183"/>
      <c r="R51" s="183"/>
      <c r="S51" s="183"/>
      <c r="T51" s="183"/>
    </row>
    <row r="52" spans="1:20" ht="19.350000000000001" customHeight="1" x14ac:dyDescent="0.25">
      <c r="A52" s="180">
        <v>38</v>
      </c>
      <c r="B52" s="181">
        <f>'I1'!B52</f>
        <v>951323243038</v>
      </c>
      <c r="C52" s="182" t="str">
        <f>'I1'!C52</f>
        <v>MARTIN PRISCA D</v>
      </c>
      <c r="D52" s="183"/>
      <c r="E52" s="183"/>
      <c r="F52" s="183"/>
      <c r="G52" s="183"/>
      <c r="H52" s="183"/>
      <c r="I52" s="183"/>
      <c r="J52" s="183"/>
      <c r="K52" s="183"/>
      <c r="L52" s="183"/>
      <c r="M52" s="183"/>
      <c r="N52" s="183"/>
      <c r="O52" s="183"/>
      <c r="P52" s="183"/>
      <c r="Q52" s="183"/>
      <c r="R52" s="183"/>
      <c r="S52" s="183"/>
      <c r="T52" s="183"/>
    </row>
    <row r="53" spans="1:20" ht="19.350000000000001" customHeight="1" x14ac:dyDescent="0.25">
      <c r="A53" s="180">
        <v>39</v>
      </c>
      <c r="B53" s="181">
        <f>'I1'!B53</f>
        <v>951323243039</v>
      </c>
      <c r="C53" s="182" t="str">
        <f>'I1'!C53</f>
        <v>MERLIN HEPSIBA K</v>
      </c>
      <c r="D53" s="183"/>
      <c r="E53" s="183"/>
      <c r="F53" s="183"/>
      <c r="G53" s="183"/>
      <c r="H53" s="183"/>
      <c r="I53" s="183"/>
      <c r="J53" s="183"/>
      <c r="K53" s="183"/>
      <c r="L53" s="183"/>
      <c r="M53" s="183"/>
      <c r="N53" s="183"/>
      <c r="O53" s="183"/>
      <c r="P53" s="183"/>
      <c r="Q53" s="183"/>
      <c r="R53" s="183"/>
      <c r="S53" s="183"/>
      <c r="T53" s="183"/>
    </row>
    <row r="54" spans="1:20" ht="19.350000000000001" customHeight="1" x14ac:dyDescent="0.25">
      <c r="A54" s="180">
        <v>40</v>
      </c>
      <c r="B54" s="181" t="e">
        <f>'I1'!#REF!</f>
        <v>#REF!</v>
      </c>
      <c r="C54" s="182" t="e">
        <f>'I1'!#REF!</f>
        <v>#REF!</v>
      </c>
      <c r="D54" s="183"/>
      <c r="E54" s="183"/>
      <c r="F54" s="183"/>
      <c r="G54" s="183"/>
      <c r="H54" s="183"/>
      <c r="I54" s="183"/>
      <c r="J54" s="183"/>
      <c r="K54" s="183"/>
      <c r="L54" s="183"/>
      <c r="M54" s="183"/>
      <c r="N54" s="183"/>
      <c r="O54" s="183"/>
      <c r="P54" s="183"/>
      <c r="Q54" s="183"/>
      <c r="R54" s="183"/>
      <c r="S54" s="183"/>
      <c r="T54" s="183"/>
    </row>
    <row r="55" spans="1:20" ht="19.350000000000001" customHeight="1" x14ac:dyDescent="0.25">
      <c r="A55" s="180">
        <v>41</v>
      </c>
      <c r="B55" s="181">
        <f>'I1'!B54</f>
        <v>951323243042</v>
      </c>
      <c r="C55" s="182" t="str">
        <f>'I1'!C54</f>
        <v>MUTHUPRASANNA M</v>
      </c>
      <c r="D55" s="183"/>
      <c r="E55" s="183"/>
      <c r="F55" s="183"/>
      <c r="G55" s="183"/>
      <c r="H55" s="183"/>
      <c r="I55" s="183"/>
      <c r="J55" s="183"/>
      <c r="K55" s="183"/>
      <c r="L55" s="183"/>
      <c r="M55" s="183"/>
      <c r="N55" s="183"/>
      <c r="O55" s="183"/>
      <c r="P55" s="183"/>
      <c r="Q55" s="183"/>
      <c r="R55" s="183"/>
      <c r="S55" s="183"/>
      <c r="T55" s="183"/>
    </row>
    <row r="56" spans="1:20" ht="19.350000000000001" customHeight="1" x14ac:dyDescent="0.25">
      <c r="A56" s="180">
        <v>42</v>
      </c>
      <c r="B56" s="181">
        <f>'I1'!B55</f>
        <v>951323243043</v>
      </c>
      <c r="C56" s="182" t="str">
        <f>'I1'!C55</f>
        <v>MUTHURAJ M</v>
      </c>
      <c r="D56" s="183"/>
      <c r="E56" s="183"/>
      <c r="F56" s="183"/>
      <c r="G56" s="183"/>
      <c r="H56" s="183"/>
      <c r="I56" s="183"/>
      <c r="J56" s="183"/>
      <c r="K56" s="183"/>
      <c r="L56" s="183"/>
      <c r="M56" s="183"/>
      <c r="N56" s="183"/>
      <c r="O56" s="183"/>
      <c r="P56" s="183"/>
      <c r="Q56" s="183"/>
      <c r="R56" s="183"/>
      <c r="S56" s="183"/>
      <c r="T56" s="183"/>
    </row>
    <row r="57" spans="1:20" ht="22.5" customHeight="1" x14ac:dyDescent="0.25">
      <c r="A57" s="180">
        <v>43</v>
      </c>
      <c r="B57" s="181" t="e">
        <f>'I1'!#REF!</f>
        <v>#REF!</v>
      </c>
      <c r="C57" s="182" t="e">
        <f>'I1'!#REF!</f>
        <v>#REF!</v>
      </c>
      <c r="D57" s="183"/>
      <c r="E57" s="183"/>
      <c r="F57" s="183"/>
      <c r="G57" s="183"/>
      <c r="H57" s="183"/>
      <c r="I57" s="183"/>
      <c r="J57" s="183"/>
      <c r="K57" s="183"/>
      <c r="L57" s="183"/>
      <c r="M57" s="183"/>
      <c r="N57" s="183"/>
      <c r="O57" s="183"/>
      <c r="P57" s="183"/>
      <c r="Q57" s="183"/>
      <c r="R57" s="183"/>
      <c r="S57" s="183"/>
      <c r="T57" s="183"/>
    </row>
    <row r="58" spans="1:20" ht="19.350000000000001" customHeight="1" x14ac:dyDescent="0.25">
      <c r="A58" s="180">
        <v>44</v>
      </c>
      <c r="B58" s="181">
        <f>'I1'!B56</f>
        <v>951323243045</v>
      </c>
      <c r="C58" s="182" t="str">
        <f>'I1'!C56</f>
        <v>PONKEERTHANA B</v>
      </c>
      <c r="D58" s="183"/>
      <c r="E58" s="183"/>
      <c r="F58" s="183"/>
      <c r="G58" s="183"/>
      <c r="H58" s="183"/>
      <c r="I58" s="183"/>
      <c r="J58" s="183"/>
      <c r="K58" s="183"/>
      <c r="L58" s="183"/>
      <c r="M58" s="183"/>
      <c r="N58" s="183"/>
      <c r="O58" s="183"/>
      <c r="P58" s="183"/>
      <c r="Q58" s="183"/>
      <c r="R58" s="183"/>
      <c r="S58" s="183"/>
      <c r="T58" s="183"/>
    </row>
    <row r="59" spans="1:20" ht="20.100000000000001" customHeight="1" x14ac:dyDescent="0.25">
      <c r="A59" s="180">
        <v>45</v>
      </c>
      <c r="B59" s="181">
        <f>'I1'!B57</f>
        <v>951323243046</v>
      </c>
      <c r="C59" s="182" t="str">
        <f>'I1'!C57</f>
        <v>POORANATRIFFIE P</v>
      </c>
      <c r="D59" s="183"/>
      <c r="E59" s="183"/>
      <c r="F59" s="183"/>
      <c r="G59" s="183"/>
      <c r="H59" s="183"/>
      <c r="I59" s="183"/>
      <c r="J59" s="183"/>
      <c r="K59" s="183"/>
      <c r="L59" s="183"/>
      <c r="M59" s="183"/>
      <c r="N59" s="183"/>
      <c r="O59" s="183"/>
      <c r="P59" s="183"/>
      <c r="Q59" s="183"/>
      <c r="R59" s="183"/>
      <c r="S59" s="183"/>
      <c r="T59" s="183"/>
    </row>
    <row r="60" spans="1:20" ht="20.100000000000001" customHeight="1" x14ac:dyDescent="0.25">
      <c r="A60" s="180">
        <v>46</v>
      </c>
      <c r="B60" s="181">
        <f>'I1'!B58</f>
        <v>951323243047</v>
      </c>
      <c r="C60" s="182" t="str">
        <f>'I1'!C58</f>
        <v>RACKLAND T</v>
      </c>
      <c r="D60" s="183"/>
      <c r="E60" s="183"/>
      <c r="F60" s="183"/>
      <c r="G60" s="183"/>
      <c r="H60" s="183"/>
      <c r="I60" s="183"/>
      <c r="J60" s="183"/>
      <c r="K60" s="183"/>
      <c r="L60" s="183"/>
      <c r="M60" s="183"/>
      <c r="N60" s="183"/>
      <c r="O60" s="183"/>
      <c r="P60" s="183"/>
      <c r="Q60" s="183"/>
      <c r="R60" s="183"/>
      <c r="S60" s="183"/>
      <c r="T60" s="183"/>
    </row>
    <row r="61" spans="1:20" ht="19.350000000000001" customHeight="1" x14ac:dyDescent="0.25">
      <c r="A61" s="180">
        <v>47</v>
      </c>
      <c r="B61" s="181">
        <f>'I1'!B59</f>
        <v>951323243048</v>
      </c>
      <c r="C61" s="182" t="str">
        <f>'I1'!C59</f>
        <v>RAJA SUNDAR K</v>
      </c>
      <c r="D61" s="183"/>
      <c r="E61" s="183"/>
      <c r="F61" s="183"/>
      <c r="G61" s="183"/>
      <c r="H61" s="183"/>
      <c r="I61" s="183"/>
      <c r="J61" s="183"/>
      <c r="K61" s="183"/>
      <c r="L61" s="183"/>
      <c r="M61" s="183"/>
      <c r="N61" s="183"/>
      <c r="O61" s="183"/>
      <c r="P61" s="183"/>
      <c r="Q61" s="183"/>
      <c r="R61" s="183"/>
      <c r="S61" s="183"/>
      <c r="T61" s="183"/>
    </row>
    <row r="62" spans="1:20" ht="19.350000000000001" customHeight="1" x14ac:dyDescent="0.25">
      <c r="A62" s="180">
        <v>48</v>
      </c>
      <c r="B62" s="181">
        <f>'I1'!B60</f>
        <v>951323243049</v>
      </c>
      <c r="C62" s="182" t="str">
        <f>'I1'!C60</f>
        <v>RAMALINGAM B</v>
      </c>
      <c r="D62" s="183"/>
      <c r="E62" s="183"/>
      <c r="F62" s="183"/>
      <c r="G62" s="183"/>
      <c r="H62" s="183"/>
      <c r="I62" s="183"/>
      <c r="J62" s="183"/>
      <c r="K62" s="183"/>
      <c r="L62" s="183"/>
      <c r="M62" s="183"/>
      <c r="N62" s="183"/>
      <c r="O62" s="183"/>
      <c r="P62" s="183"/>
      <c r="Q62" s="183"/>
      <c r="R62" s="183"/>
      <c r="S62" s="183"/>
      <c r="T62" s="183"/>
    </row>
    <row r="63" spans="1:20" ht="19.350000000000001" customHeight="1" x14ac:dyDescent="0.25">
      <c r="A63" s="180">
        <v>49</v>
      </c>
      <c r="B63" s="181">
        <f>'I1'!B61</f>
        <v>951323243050</v>
      </c>
      <c r="C63" s="182" t="str">
        <f>'I1'!C61</f>
        <v>SELVAM GRACELIN S</v>
      </c>
      <c r="D63" s="183"/>
      <c r="E63" s="183"/>
      <c r="F63" s="183"/>
      <c r="G63" s="183"/>
      <c r="H63" s="183"/>
      <c r="I63" s="183"/>
      <c r="J63" s="183"/>
      <c r="K63" s="183"/>
      <c r="L63" s="183"/>
      <c r="M63" s="183"/>
      <c r="N63" s="183"/>
      <c r="O63" s="183"/>
      <c r="P63" s="183"/>
      <c r="Q63" s="183"/>
      <c r="R63" s="183"/>
      <c r="S63" s="183"/>
      <c r="T63" s="183"/>
    </row>
    <row r="64" spans="1:20" ht="19.350000000000001" customHeight="1" x14ac:dyDescent="0.25">
      <c r="A64" s="180">
        <v>50</v>
      </c>
      <c r="B64" s="181">
        <f>'I1'!B62</f>
        <v>951323243051</v>
      </c>
      <c r="C64" s="182" t="str">
        <f>'I1'!C62</f>
        <v>SHANKAR V</v>
      </c>
      <c r="D64" s="183"/>
      <c r="E64" s="183"/>
      <c r="F64" s="183"/>
      <c r="G64" s="183"/>
      <c r="H64" s="183"/>
      <c r="I64" s="183"/>
      <c r="J64" s="183"/>
      <c r="K64" s="183"/>
      <c r="L64" s="183"/>
      <c r="M64" s="183"/>
      <c r="N64" s="183"/>
      <c r="O64" s="183"/>
      <c r="P64" s="183"/>
      <c r="Q64" s="183"/>
      <c r="R64" s="183"/>
      <c r="S64" s="183"/>
      <c r="T64" s="183"/>
    </row>
    <row r="65" spans="1:20" ht="19.350000000000001" customHeight="1" x14ac:dyDescent="0.25">
      <c r="A65" s="180">
        <v>51</v>
      </c>
      <c r="B65" s="181">
        <f>'I1'!B63</f>
        <v>951323243052</v>
      </c>
      <c r="C65" s="182" t="str">
        <f>'I1'!C63</f>
        <v>SINDHUJA RAJASUMANA R</v>
      </c>
      <c r="D65" s="190"/>
      <c r="E65" s="183"/>
      <c r="F65" s="183"/>
      <c r="G65" s="183"/>
      <c r="H65" s="183"/>
      <c r="I65" s="183"/>
      <c r="J65" s="183"/>
      <c r="K65" s="183"/>
      <c r="L65" s="183"/>
      <c r="M65" s="183"/>
      <c r="N65" s="183"/>
      <c r="O65" s="183"/>
      <c r="P65" s="183"/>
      <c r="Q65" s="183"/>
      <c r="R65" s="183"/>
      <c r="S65" s="183"/>
      <c r="T65" s="183"/>
    </row>
    <row r="66" spans="1:20" ht="20.100000000000001" customHeight="1" x14ac:dyDescent="0.25">
      <c r="A66" s="180">
        <v>52</v>
      </c>
      <c r="B66" s="181">
        <f>'I1'!B64</f>
        <v>951323243053</v>
      </c>
      <c r="C66" s="182" t="str">
        <f>'I1'!C64</f>
        <v>SNEGA G</v>
      </c>
      <c r="D66" s="190"/>
      <c r="E66" s="183"/>
      <c r="F66" s="183"/>
      <c r="G66" s="183"/>
      <c r="H66" s="183"/>
      <c r="I66" s="183"/>
      <c r="J66" s="183"/>
      <c r="K66" s="183"/>
      <c r="L66" s="183"/>
      <c r="M66" s="183"/>
      <c r="N66" s="183"/>
      <c r="O66" s="183"/>
      <c r="P66" s="183"/>
      <c r="Q66" s="183"/>
      <c r="R66" s="183"/>
      <c r="S66" s="183"/>
      <c r="T66" s="183"/>
    </row>
    <row r="67" spans="1:20" ht="19.350000000000001" customHeight="1" x14ac:dyDescent="0.25">
      <c r="A67" s="180">
        <v>53</v>
      </c>
      <c r="B67" s="181">
        <f>'I1'!B65</f>
        <v>951323243054</v>
      </c>
      <c r="C67" s="182" t="str">
        <f>'I1'!C65</f>
        <v>SUBRAMANIAN V</v>
      </c>
      <c r="D67" s="190"/>
      <c r="E67" s="183"/>
      <c r="F67" s="183"/>
      <c r="G67" s="183"/>
      <c r="H67" s="183"/>
      <c r="I67" s="183"/>
      <c r="J67" s="183"/>
      <c r="K67" s="183"/>
      <c r="L67" s="183"/>
      <c r="M67" s="183"/>
      <c r="N67" s="183"/>
      <c r="O67" s="183"/>
      <c r="P67" s="183"/>
      <c r="Q67" s="183"/>
      <c r="R67" s="183"/>
      <c r="S67" s="183"/>
      <c r="T67" s="183"/>
    </row>
    <row r="68" spans="1:20" ht="19.350000000000001" customHeight="1" x14ac:dyDescent="0.25">
      <c r="A68" s="180">
        <v>54</v>
      </c>
      <c r="B68" s="181">
        <f>'I1'!B66</f>
        <v>951323243055</v>
      </c>
      <c r="C68" s="182" t="str">
        <f>'I1'!C66</f>
        <v>SUGAN RAJ H</v>
      </c>
      <c r="D68" s="190"/>
      <c r="E68" s="183"/>
      <c r="F68" s="183"/>
      <c r="G68" s="183"/>
      <c r="H68" s="183"/>
      <c r="I68" s="183"/>
      <c r="J68" s="183"/>
      <c r="K68" s="183"/>
      <c r="L68" s="183"/>
      <c r="M68" s="183"/>
      <c r="N68" s="183"/>
      <c r="O68" s="183"/>
      <c r="P68" s="183"/>
      <c r="Q68" s="183"/>
      <c r="R68" s="183"/>
      <c r="S68" s="183"/>
      <c r="T68" s="183"/>
    </row>
    <row r="69" spans="1:20" ht="19.350000000000001" customHeight="1" x14ac:dyDescent="0.25">
      <c r="A69" s="180">
        <v>55</v>
      </c>
      <c r="B69" s="181">
        <f>'I1'!B67</f>
        <v>951323243056</v>
      </c>
      <c r="C69" s="182" t="str">
        <f>'I1'!C67</f>
        <v>THOMAS KOILRAJ J</v>
      </c>
      <c r="D69" s="190"/>
      <c r="E69" s="183"/>
      <c r="F69" s="183"/>
      <c r="G69" s="183"/>
      <c r="H69" s="183"/>
      <c r="I69" s="183"/>
      <c r="J69" s="183"/>
      <c r="K69" s="183"/>
      <c r="L69" s="183"/>
      <c r="M69" s="183"/>
      <c r="N69" s="183"/>
      <c r="O69" s="183"/>
      <c r="P69" s="183"/>
      <c r="Q69" s="183"/>
      <c r="R69" s="183"/>
      <c r="S69" s="183"/>
      <c r="T69" s="183"/>
    </row>
    <row r="70" spans="1:20" ht="19.350000000000001" customHeight="1" x14ac:dyDescent="0.25">
      <c r="A70" s="180">
        <v>56</v>
      </c>
      <c r="B70" s="181">
        <f>'I1'!B68</f>
        <v>951323243057</v>
      </c>
      <c r="C70" s="182" t="str">
        <f>'I1'!C68</f>
        <v>VANITHA L</v>
      </c>
      <c r="D70" s="190"/>
      <c r="E70" s="183"/>
      <c r="F70" s="183"/>
      <c r="G70" s="183"/>
      <c r="H70" s="183"/>
      <c r="I70" s="183"/>
      <c r="J70" s="183"/>
      <c r="K70" s="183"/>
      <c r="L70" s="183"/>
      <c r="M70" s="183"/>
      <c r="N70" s="183"/>
      <c r="O70" s="183"/>
      <c r="P70" s="183"/>
      <c r="Q70" s="183"/>
      <c r="R70" s="183"/>
      <c r="S70" s="183"/>
      <c r="T70" s="183"/>
    </row>
    <row r="71" spans="1:20" ht="19.350000000000001" customHeight="1" x14ac:dyDescent="0.25">
      <c r="A71" s="180">
        <v>57</v>
      </c>
      <c r="B71" s="181">
        <f>'I1'!B69</f>
        <v>951323243058</v>
      </c>
      <c r="C71" s="182" t="str">
        <f>'I1'!C69</f>
        <v>VICTOR ROBINSON</v>
      </c>
      <c r="D71" s="190"/>
      <c r="E71" s="183"/>
      <c r="F71" s="183"/>
      <c r="G71" s="183"/>
      <c r="H71" s="183"/>
      <c r="I71" s="183"/>
      <c r="J71" s="183"/>
      <c r="K71" s="183"/>
      <c r="L71" s="183"/>
      <c r="M71" s="183"/>
      <c r="N71" s="183"/>
      <c r="O71" s="183"/>
      <c r="P71" s="183"/>
      <c r="Q71" s="183"/>
      <c r="R71" s="183"/>
      <c r="S71" s="183"/>
      <c r="T71" s="183"/>
    </row>
    <row r="72" spans="1:20" ht="20.100000000000001" customHeight="1" x14ac:dyDescent="0.25">
      <c r="A72" s="180">
        <v>58</v>
      </c>
      <c r="B72" s="181">
        <f>'I1'!B70</f>
        <v>951323243059</v>
      </c>
      <c r="C72" s="182" t="str">
        <f>'I1'!C70</f>
        <v>VIJAYAPRAKASH S</v>
      </c>
      <c r="D72" s="190"/>
      <c r="E72" s="183"/>
      <c r="F72" s="183"/>
      <c r="G72" s="183"/>
      <c r="H72" s="183"/>
      <c r="I72" s="183"/>
      <c r="J72" s="183"/>
      <c r="K72" s="183"/>
      <c r="L72" s="183"/>
      <c r="M72" s="183"/>
      <c r="N72" s="183"/>
      <c r="O72" s="183"/>
      <c r="P72" s="183"/>
      <c r="Q72" s="183"/>
      <c r="R72" s="183"/>
      <c r="S72" s="183"/>
      <c r="T72" s="183"/>
    </row>
    <row r="73" spans="1:20" ht="20.100000000000001" customHeight="1" x14ac:dyDescent="0.25">
      <c r="A73" s="180">
        <v>59</v>
      </c>
      <c r="B73" s="181">
        <f>'I1'!B71</f>
        <v>951323243060</v>
      </c>
      <c r="C73" s="182" t="str">
        <f>'I1'!C71</f>
        <v>VIJITHA BLESSY V</v>
      </c>
      <c r="D73" s="190"/>
      <c r="E73" s="183"/>
      <c r="F73" s="183"/>
      <c r="G73" s="183"/>
      <c r="H73" s="183"/>
      <c r="I73" s="183"/>
      <c r="J73" s="183"/>
      <c r="K73" s="183"/>
      <c r="L73" s="183"/>
      <c r="M73" s="183"/>
      <c r="N73" s="183"/>
      <c r="O73" s="183"/>
      <c r="P73" s="183"/>
      <c r="Q73" s="183"/>
      <c r="R73" s="183"/>
      <c r="S73" s="183"/>
      <c r="T73" s="183"/>
    </row>
    <row r="74" spans="1:20" ht="20.100000000000001" customHeight="1" x14ac:dyDescent="0.25">
      <c r="A74" s="180"/>
      <c r="B74" s="188"/>
      <c r="C74" s="189"/>
      <c r="D74" s="190"/>
      <c r="E74" s="183"/>
      <c r="F74" s="183"/>
      <c r="G74" s="183"/>
      <c r="H74" s="183"/>
      <c r="I74" s="183"/>
      <c r="J74" s="183"/>
      <c r="K74" s="183"/>
      <c r="L74" s="183"/>
      <c r="M74" s="183"/>
      <c r="N74" s="183"/>
      <c r="O74" s="183"/>
      <c r="P74" s="183"/>
      <c r="Q74" s="183"/>
      <c r="R74" s="183"/>
      <c r="S74" s="183"/>
      <c r="T74" s="183"/>
    </row>
    <row r="75" spans="1:20" ht="18" customHeight="1" x14ac:dyDescent="0.25">
      <c r="A75" s="365" t="s">
        <v>215</v>
      </c>
      <c r="B75" s="365"/>
      <c r="C75" s="191">
        <v>45275</v>
      </c>
      <c r="D75" s="358" t="s">
        <v>216</v>
      </c>
      <c r="E75" s="358"/>
      <c r="F75" s="358"/>
      <c r="G75" s="358"/>
      <c r="H75" s="358"/>
      <c r="I75" s="358"/>
      <c r="J75" s="358"/>
      <c r="K75" s="358"/>
      <c r="L75" s="358"/>
      <c r="M75" s="358"/>
      <c r="N75" s="358"/>
      <c r="O75" s="358"/>
      <c r="P75" s="358"/>
      <c r="Q75" s="358"/>
      <c r="R75" s="358"/>
      <c r="S75" s="366"/>
      <c r="T75" s="360"/>
    </row>
    <row r="76" spans="1:20" ht="18" customHeight="1" x14ac:dyDescent="0.25">
      <c r="A76" s="358" t="s">
        <v>217</v>
      </c>
      <c r="B76" s="358"/>
      <c r="C76" s="192">
        <f>COUNTIF(S15:S74,"&gt;0")</f>
        <v>0</v>
      </c>
      <c r="D76" s="358" t="s">
        <v>218</v>
      </c>
      <c r="E76" s="358"/>
      <c r="F76" s="358"/>
      <c r="G76" s="358"/>
      <c r="H76" s="358"/>
      <c r="I76" s="358"/>
      <c r="J76" s="358"/>
      <c r="K76" s="358"/>
      <c r="L76" s="358"/>
      <c r="M76" s="358"/>
      <c r="N76" s="358"/>
      <c r="O76" s="358"/>
      <c r="P76" s="358"/>
      <c r="Q76" s="358"/>
      <c r="R76" s="358"/>
      <c r="S76" s="359"/>
      <c r="T76" s="360"/>
    </row>
    <row r="77" spans="1:20" ht="18" customHeight="1" x14ac:dyDescent="0.25">
      <c r="A77" s="193" t="s">
        <v>219</v>
      </c>
      <c r="B77" s="193"/>
      <c r="C77" s="192">
        <f>COUNTIF(S15:S74,"&gt;24")</f>
        <v>0</v>
      </c>
      <c r="D77" s="358" t="s">
        <v>220</v>
      </c>
      <c r="E77" s="358"/>
      <c r="F77" s="358"/>
      <c r="G77" s="358"/>
      <c r="H77" s="358"/>
      <c r="I77" s="358"/>
      <c r="J77" s="358"/>
      <c r="K77" s="358"/>
      <c r="L77" s="358"/>
      <c r="M77" s="358"/>
      <c r="N77" s="358"/>
      <c r="O77" s="358"/>
      <c r="P77" s="358"/>
      <c r="Q77" s="358"/>
      <c r="R77" s="358"/>
      <c r="S77" s="359"/>
      <c r="T77" s="360"/>
    </row>
    <row r="78" spans="1:20" ht="18" customHeight="1" x14ac:dyDescent="0.25">
      <c r="A78" s="193" t="s">
        <v>221</v>
      </c>
      <c r="B78" s="193"/>
      <c r="C78" s="192">
        <f>C76-C77</f>
        <v>0</v>
      </c>
      <c r="D78" s="358" t="s">
        <v>84</v>
      </c>
      <c r="E78" s="358"/>
      <c r="F78" s="358"/>
      <c r="G78" s="358"/>
      <c r="H78" s="358"/>
      <c r="I78" s="358"/>
      <c r="J78" s="358"/>
      <c r="K78" s="358"/>
      <c r="L78" s="358"/>
      <c r="M78" s="358"/>
      <c r="N78" s="358"/>
      <c r="O78" s="358"/>
      <c r="P78" s="358"/>
      <c r="Q78" s="358"/>
      <c r="R78" s="358"/>
      <c r="S78" s="359"/>
      <c r="T78" s="360"/>
    </row>
    <row r="79" spans="1:20" ht="18" customHeight="1" x14ac:dyDescent="0.25">
      <c r="A79" s="193" t="s">
        <v>222</v>
      </c>
      <c r="B79" s="193"/>
      <c r="C79" s="236" t="e">
        <f>C77/C76</f>
        <v>#DIV/0!</v>
      </c>
      <c r="D79" s="358" t="s">
        <v>85</v>
      </c>
      <c r="E79" s="358"/>
      <c r="F79" s="358"/>
      <c r="G79" s="358"/>
      <c r="H79" s="358"/>
      <c r="I79" s="358"/>
      <c r="J79" s="358"/>
      <c r="K79" s="358"/>
      <c r="L79" s="358"/>
      <c r="M79" s="358"/>
      <c r="N79" s="358"/>
      <c r="O79" s="358"/>
      <c r="P79" s="358"/>
      <c r="Q79" s="358"/>
      <c r="R79" s="358"/>
      <c r="S79" s="359"/>
      <c r="T79" s="360"/>
    </row>
  </sheetData>
  <mergeCells count="27">
    <mergeCell ref="A8:T8"/>
    <mergeCell ref="A2:T2"/>
    <mergeCell ref="A3:T3"/>
    <mergeCell ref="A4:T4"/>
    <mergeCell ref="A6:T6"/>
    <mergeCell ref="A7:T7"/>
    <mergeCell ref="A76:B76"/>
    <mergeCell ref="D76:R76"/>
    <mergeCell ref="S76:T76"/>
    <mergeCell ref="A10:J10"/>
    <mergeCell ref="A11:J11"/>
    <mergeCell ref="A13:A14"/>
    <mergeCell ref="B13:B14"/>
    <mergeCell ref="C13:C14"/>
    <mergeCell ref="D13:H13"/>
    <mergeCell ref="I13:R13"/>
    <mergeCell ref="S13:S14"/>
    <mergeCell ref="T13:T14"/>
    <mergeCell ref="A75:B75"/>
    <mergeCell ref="D75:R75"/>
    <mergeCell ref="S75:T75"/>
    <mergeCell ref="D77:R77"/>
    <mergeCell ref="S77:T77"/>
    <mergeCell ref="D78:R78"/>
    <mergeCell ref="S78:T78"/>
    <mergeCell ref="D79:R79"/>
    <mergeCell ref="S79:T7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85"/>
  <sheetViews>
    <sheetView topLeftCell="A55" zoomScale="73" zoomScaleNormal="73" workbookViewId="0">
      <selection activeCell="N13" sqref="N13"/>
    </sheetView>
  </sheetViews>
  <sheetFormatPr defaultRowHeight="15" x14ac:dyDescent="0.25"/>
  <cols>
    <col min="1" max="1" width="11.28515625" customWidth="1"/>
    <col min="2" max="2" width="8.140625" customWidth="1"/>
    <col min="3" max="3" width="18.28515625" customWidth="1"/>
    <col min="4" max="4" width="30.28515625" customWidth="1"/>
    <col min="5" max="5" width="9.42578125" customWidth="1"/>
    <col min="6" max="6" width="7.7109375" customWidth="1"/>
    <col min="7" max="7" width="7.42578125" customWidth="1"/>
    <col min="8" max="8" width="8" customWidth="1"/>
    <col min="9" max="9" width="7" customWidth="1"/>
    <col min="10" max="10" width="8.7109375" customWidth="1"/>
    <col min="11" max="11" width="7.5703125" customWidth="1"/>
    <col min="12" max="12" width="8.42578125" customWidth="1"/>
    <col min="13" max="14" width="7.7109375" customWidth="1"/>
    <col min="15" max="15" width="8.28515625" customWidth="1"/>
    <col min="16" max="16" width="9.28515625" customWidth="1"/>
    <col min="17" max="17" width="8.7109375" customWidth="1"/>
    <col min="18" max="18" width="9.28515625" customWidth="1"/>
    <col min="19" max="19" width="8.7109375" customWidth="1"/>
    <col min="20" max="20" width="8.140625" customWidth="1"/>
    <col min="21" max="21" width="8.85546875" customWidth="1"/>
    <col min="22" max="22" width="8.140625" customWidth="1"/>
    <col min="23" max="23" width="8.85546875" customWidth="1"/>
    <col min="24" max="24" width="8.140625" customWidth="1"/>
    <col min="25" max="25" width="8.85546875" customWidth="1"/>
    <col min="26" max="26" width="8.28515625" customWidth="1"/>
    <col min="27" max="27" width="7.5703125" customWidth="1"/>
    <col min="29" max="29" width="13.140625" customWidth="1"/>
    <col min="30" max="30" width="21.5703125" customWidth="1"/>
  </cols>
  <sheetData>
    <row r="1" spans="1:30" x14ac:dyDescent="0.25">
      <c r="B1" s="331" t="str">
        <f>'BL-1'!A1</f>
        <v>JAYARAJ ANNAPACKIAM C. S. I. COLLEGE OF ENGINEERING</v>
      </c>
      <c r="C1" s="331"/>
      <c r="D1" s="331"/>
      <c r="E1" s="331"/>
      <c r="F1" s="331"/>
      <c r="G1" s="331"/>
      <c r="H1" s="331"/>
      <c r="I1" s="331"/>
      <c r="J1" s="331"/>
      <c r="K1" s="331"/>
      <c r="L1" s="331"/>
      <c r="M1" s="331"/>
      <c r="N1" s="1"/>
    </row>
    <row r="2" spans="1:30" x14ac:dyDescent="0.25">
      <c r="B2" s="331" t="str">
        <f>'BL-1'!A2</f>
        <v>(Approved by AICTE, New Delhi and Affiliated to Anna University)</v>
      </c>
      <c r="C2" s="331"/>
      <c r="D2" s="331"/>
      <c r="E2" s="331"/>
      <c r="F2" s="331"/>
      <c r="G2" s="331"/>
      <c r="H2" s="331"/>
      <c r="I2" s="331"/>
      <c r="J2" s="331"/>
      <c r="K2" s="331"/>
      <c r="L2" s="331"/>
      <c r="M2" s="331"/>
      <c r="N2" s="60"/>
    </row>
    <row r="3" spans="1:30" x14ac:dyDescent="0.25">
      <c r="B3" s="331" t="str">
        <f>'BL-1'!A3</f>
        <v>MARGOSCHIS NAGAR, NAZARETH - 628 617</v>
      </c>
      <c r="C3" s="331"/>
      <c r="D3" s="331"/>
      <c r="E3" s="331"/>
      <c r="F3" s="331"/>
      <c r="G3" s="331"/>
      <c r="H3" s="331"/>
      <c r="I3" s="331"/>
      <c r="J3" s="331"/>
      <c r="K3" s="331"/>
      <c r="L3" s="331"/>
      <c r="M3" s="331"/>
      <c r="N3" s="1"/>
    </row>
    <row r="4" spans="1:30" x14ac:dyDescent="0.25">
      <c r="B4" s="331" t="str">
        <f>'BL-1'!A4</f>
        <v>DEPARTMENT OF ARTIFICIAL INTELLIGENCE AND DATA SCIENCE</v>
      </c>
      <c r="C4" s="331"/>
      <c r="D4" s="331"/>
      <c r="E4" s="331"/>
      <c r="F4" s="331"/>
      <c r="G4" s="331"/>
      <c r="H4" s="331"/>
      <c r="I4" s="331"/>
      <c r="J4" s="331"/>
      <c r="K4" s="331"/>
      <c r="L4" s="331"/>
      <c r="M4" s="331"/>
      <c r="N4" s="1"/>
    </row>
    <row r="5" spans="1:30" x14ac:dyDescent="0.25">
      <c r="B5" s="331" t="s">
        <v>5</v>
      </c>
      <c r="C5" s="331"/>
      <c r="D5" s="331"/>
      <c r="E5" s="331"/>
      <c r="F5" s="331"/>
      <c r="G5" s="331"/>
      <c r="H5" s="331"/>
      <c r="I5" s="331"/>
      <c r="J5" s="331"/>
      <c r="K5" s="331"/>
      <c r="L5" s="331"/>
      <c r="M5" s="331"/>
      <c r="N5" s="1"/>
    </row>
    <row r="6" spans="1:30" x14ac:dyDescent="0.25">
      <c r="B6" s="331" t="s">
        <v>4</v>
      </c>
      <c r="C6" s="331"/>
      <c r="D6" s="331"/>
      <c r="E6" s="331"/>
      <c r="F6" s="331"/>
      <c r="G6" s="331"/>
      <c r="H6" s="331"/>
      <c r="I6" s="331"/>
      <c r="J6" s="331"/>
      <c r="K6" s="331"/>
      <c r="L6" s="331"/>
      <c r="M6" s="331"/>
      <c r="N6" s="1"/>
    </row>
    <row r="7" spans="1:30" x14ac:dyDescent="0.25">
      <c r="B7" s="1"/>
      <c r="C7" s="1"/>
      <c r="D7" s="1"/>
      <c r="E7" s="1"/>
      <c r="F7" s="1"/>
      <c r="G7" s="1"/>
      <c r="H7" s="1"/>
      <c r="I7" s="1"/>
      <c r="J7" s="1"/>
      <c r="K7" s="1"/>
      <c r="L7" s="1"/>
      <c r="M7" s="1"/>
      <c r="N7" s="1"/>
    </row>
    <row r="8" spans="1:30" ht="24" customHeight="1" x14ac:dyDescent="0.25">
      <c r="A8" s="226" t="str">
        <f>'I1'!A10:J10</f>
        <v>COURSE CODE / NAME: CW3551 DATA AND INFORMATION SECURITY</v>
      </c>
      <c r="B8" s="11"/>
      <c r="C8" s="11"/>
      <c r="D8" s="11"/>
      <c r="E8" s="11"/>
      <c r="F8" s="11"/>
      <c r="G8" s="11" t="str">
        <f>'BL-1'!I9</f>
        <v>CLASS  : III ADS</v>
      </c>
      <c r="H8" s="11"/>
      <c r="J8" s="11"/>
      <c r="K8" s="11" t="str">
        <f>'BL-1'!I8</f>
        <v>BATCH: 2023-2027</v>
      </c>
      <c r="L8" s="11"/>
      <c r="O8" s="11" t="str">
        <f>'BL-1'!M8</f>
        <v>SEM:05</v>
      </c>
      <c r="Z8" s="22"/>
      <c r="AA8" s="22"/>
    </row>
    <row r="9" spans="1:30" ht="15.75" x14ac:dyDescent="0.25">
      <c r="A9" s="226" t="str">
        <f>'I1'!A11:J11</f>
        <v>COURSE INSTRUCTOR/DESIGNATION: G. ALISHA EVANGELINE,AP/ADS</v>
      </c>
      <c r="B9" s="11"/>
      <c r="C9" s="11"/>
      <c r="D9" s="11"/>
      <c r="F9" s="10" t="str">
        <f>'BL-1'!M9</f>
        <v>DATE:</v>
      </c>
      <c r="G9" s="400" t="s">
        <v>318</v>
      </c>
      <c r="H9" s="400"/>
      <c r="J9" s="11" t="str">
        <f>'BL-1'!O9</f>
        <v>TIME:</v>
      </c>
      <c r="K9" s="123" t="s">
        <v>161</v>
      </c>
      <c r="L9" s="11"/>
      <c r="M9" s="92"/>
      <c r="N9" s="92"/>
      <c r="O9" s="403" t="s">
        <v>330</v>
      </c>
      <c r="P9" s="403"/>
      <c r="Q9" s="403"/>
      <c r="R9" s="403"/>
      <c r="S9" s="403"/>
      <c r="T9" s="403"/>
      <c r="U9" s="403"/>
      <c r="V9" s="403"/>
      <c r="W9" s="403"/>
      <c r="X9" s="403"/>
      <c r="Z9" s="88">
        <f>COUNTIF('I1'!C15:C72,"*")</f>
        <v>57</v>
      </c>
      <c r="AA9" s="22"/>
    </row>
    <row r="10" spans="1:30" x14ac:dyDescent="0.25">
      <c r="D10" s="8"/>
      <c r="E10" s="8"/>
      <c r="F10" s="8"/>
      <c r="G10" s="8"/>
      <c r="H10" s="8"/>
      <c r="Z10" s="22"/>
      <c r="AA10" s="22"/>
    </row>
    <row r="11" spans="1:30" ht="47.25" customHeight="1" x14ac:dyDescent="0.25">
      <c r="A11" s="9" t="s">
        <v>9</v>
      </c>
      <c r="B11" s="8"/>
      <c r="C11" s="8"/>
      <c r="F11" s="1"/>
      <c r="O11" s="404" t="s">
        <v>67</v>
      </c>
      <c r="P11" s="405"/>
      <c r="Q11" s="372" t="s">
        <v>11</v>
      </c>
      <c r="R11" s="373"/>
      <c r="S11" s="373"/>
      <c r="T11" s="373"/>
      <c r="U11" s="373"/>
      <c r="V11" s="373"/>
      <c r="W11" s="373"/>
      <c r="X11" s="373"/>
      <c r="Y11" s="373"/>
      <c r="Z11" s="373"/>
      <c r="AA11" s="373"/>
      <c r="AB11" s="373"/>
      <c r="AC11" s="374"/>
      <c r="AD11" s="32" t="s">
        <v>32</v>
      </c>
    </row>
    <row r="12" spans="1:30" ht="15.75" x14ac:dyDescent="0.25">
      <c r="A12" s="118" t="str">
        <f>'BL-1'!A12</f>
        <v>CO 1</v>
      </c>
      <c r="B12" s="116" t="str">
        <f>'BL-1'!B12</f>
        <v>Understand the basics of data and information security</v>
      </c>
      <c r="C12" s="1"/>
      <c r="D12" s="1"/>
      <c r="E12" s="1"/>
      <c r="F12" s="1"/>
      <c r="G12" s="1"/>
      <c r="O12" s="406">
        <v>1</v>
      </c>
      <c r="P12" s="407"/>
      <c r="Q12" s="369" t="s">
        <v>164</v>
      </c>
      <c r="R12" s="370"/>
      <c r="S12" s="370"/>
      <c r="T12" s="370"/>
      <c r="U12" s="370"/>
      <c r="V12" s="370"/>
      <c r="W12" s="370"/>
      <c r="X12" s="370"/>
      <c r="Y12" s="370"/>
      <c r="Z12" s="370"/>
      <c r="AA12" s="370"/>
      <c r="AB12" s="370"/>
      <c r="AC12" s="371"/>
      <c r="AD12" s="26" t="s">
        <v>13</v>
      </c>
    </row>
    <row r="13" spans="1:30" ht="15.75" x14ac:dyDescent="0.25">
      <c r="A13" s="118" t="str">
        <f>'BL-1'!A13</f>
        <v>CO 2</v>
      </c>
      <c r="B13" s="116" t="str">
        <f>'BL-1'!B13</f>
        <v>Understand the legal, ethical and professional issues in information security</v>
      </c>
      <c r="C13" s="1"/>
      <c r="D13" s="1"/>
      <c r="E13" s="1"/>
      <c r="F13" s="1"/>
      <c r="G13" s="1"/>
      <c r="O13" s="406">
        <v>2</v>
      </c>
      <c r="P13" s="407"/>
      <c r="Q13" s="49" t="s">
        <v>163</v>
      </c>
      <c r="R13" s="89"/>
      <c r="S13" s="49" t="s">
        <v>163</v>
      </c>
      <c r="T13" s="89"/>
      <c r="U13" s="89"/>
      <c r="V13" s="89"/>
      <c r="W13" s="89"/>
      <c r="X13" s="89"/>
      <c r="Y13" s="89"/>
      <c r="Z13" s="89"/>
      <c r="AA13" s="89"/>
      <c r="AB13" s="89"/>
      <c r="AC13" s="48"/>
      <c r="AD13" s="26" t="s">
        <v>15</v>
      </c>
    </row>
    <row r="14" spans="1:30" ht="15.75" x14ac:dyDescent="0.25">
      <c r="A14" s="118" t="str">
        <f>'BL-1'!A14</f>
        <v>CO 3</v>
      </c>
      <c r="B14" s="116" t="str">
        <f>'BL-1'!B14</f>
        <v>Understand the various authentication schemes to simulate different applications</v>
      </c>
      <c r="C14" s="1"/>
      <c r="D14" s="1"/>
      <c r="O14" s="406">
        <v>3</v>
      </c>
      <c r="P14" s="407"/>
      <c r="Q14" s="49" t="s">
        <v>162</v>
      </c>
      <c r="R14" s="89"/>
      <c r="S14" s="49" t="s">
        <v>162</v>
      </c>
      <c r="T14" s="89"/>
      <c r="U14" s="89"/>
      <c r="V14" s="89"/>
      <c r="W14" s="89"/>
      <c r="X14" s="89"/>
      <c r="Y14" s="89"/>
      <c r="Z14" s="89"/>
      <c r="AA14" s="89"/>
      <c r="AB14" s="89"/>
      <c r="AC14" s="48"/>
      <c r="AD14" s="26" t="s">
        <v>17</v>
      </c>
    </row>
    <row r="15" spans="1:30" ht="15.75" customHeight="1" x14ac:dyDescent="0.25">
      <c r="A15" s="118" t="str">
        <f>'BL-1'!A15</f>
        <v>CO 4</v>
      </c>
      <c r="B15" s="116" t="str">
        <f>'BL-1'!B15</f>
        <v>Understand various security practices and system security standards</v>
      </c>
      <c r="C15" s="1"/>
      <c r="D15" s="1"/>
      <c r="E15" s="1"/>
      <c r="F15" s="1"/>
      <c r="G15" s="1"/>
      <c r="P15" s="20"/>
      <c r="Q15" s="20"/>
      <c r="R15" s="20"/>
      <c r="S15" s="20"/>
      <c r="T15" s="21"/>
      <c r="U15" s="21"/>
      <c r="V15" s="21"/>
      <c r="W15" s="21"/>
      <c r="X15" s="21"/>
      <c r="Y15" s="21"/>
      <c r="Z15" s="21"/>
      <c r="AA15" s="21"/>
    </row>
    <row r="16" spans="1:30" x14ac:dyDescent="0.25">
      <c r="A16" s="118" t="str">
        <f>'BL-1'!A16</f>
        <v>CO 5</v>
      </c>
      <c r="B16" s="116" t="str">
        <f>'BL-1'!B16</f>
        <v>Understand the web security protocols for E-commerce applications</v>
      </c>
      <c r="C16" s="1"/>
      <c r="D16" s="1"/>
      <c r="G16" s="1"/>
      <c r="I16" s="368"/>
      <c r="J16" s="368"/>
      <c r="K16" s="368"/>
      <c r="L16" s="368"/>
      <c r="M16" s="368"/>
      <c r="N16" s="368"/>
      <c r="O16" s="368"/>
      <c r="P16" s="368"/>
      <c r="Q16" s="368"/>
      <c r="R16" s="368"/>
      <c r="S16" s="368"/>
      <c r="T16" s="368"/>
      <c r="U16" s="368"/>
      <c r="V16" s="368"/>
      <c r="W16" s="368"/>
      <c r="X16" s="368"/>
      <c r="Y16" s="368"/>
      <c r="Z16" s="368"/>
      <c r="AA16" s="368"/>
      <c r="AB16" s="368"/>
    </row>
    <row r="17" spans="2:28" x14ac:dyDescent="0.25">
      <c r="I17" s="7"/>
      <c r="J17" s="7"/>
      <c r="K17" s="7"/>
      <c r="L17" s="7"/>
      <c r="M17" s="7"/>
      <c r="N17" s="7"/>
      <c r="O17" s="7"/>
      <c r="P17" s="7"/>
      <c r="Q17" s="7"/>
      <c r="R17" s="7"/>
      <c r="S17" s="7"/>
      <c r="T17" s="7"/>
      <c r="U17" s="7"/>
      <c r="V17" s="7"/>
      <c r="W17" s="7"/>
      <c r="X17" s="7"/>
      <c r="Y17" s="368"/>
      <c r="Z17" s="368"/>
      <c r="AA17" s="368"/>
      <c r="AB17" s="368"/>
    </row>
    <row r="18" spans="2:28" x14ac:dyDescent="0.25">
      <c r="D18" s="382" t="s">
        <v>225</v>
      </c>
      <c r="E18" s="382"/>
      <c r="F18" s="382"/>
      <c r="G18" s="382"/>
      <c r="H18" s="382"/>
      <c r="I18" s="382"/>
      <c r="J18" s="382"/>
      <c r="K18" s="382"/>
      <c r="L18" s="382"/>
      <c r="M18" s="382"/>
      <c r="N18" s="382"/>
      <c r="O18" s="382"/>
      <c r="P18" s="90"/>
      <c r="Q18" s="28"/>
      <c r="R18" s="90"/>
      <c r="S18" s="28"/>
      <c r="T18" s="90"/>
      <c r="U18" s="90"/>
      <c r="V18" s="90"/>
      <c r="W18" s="90"/>
      <c r="X18" s="90"/>
      <c r="Y18" s="90"/>
      <c r="Z18" s="28"/>
      <c r="AA18" s="28"/>
      <c r="AB18" s="28"/>
    </row>
    <row r="19" spans="2:28" x14ac:dyDescent="0.25">
      <c r="D19" s="244" t="s">
        <v>21</v>
      </c>
      <c r="E19" s="391" t="s">
        <v>24</v>
      </c>
      <c r="F19" s="392"/>
      <c r="G19" s="380" t="s">
        <v>26</v>
      </c>
      <c r="H19" s="381"/>
      <c r="I19" s="380" t="s">
        <v>22</v>
      </c>
      <c r="J19" s="381"/>
      <c r="K19" s="382" t="s">
        <v>25</v>
      </c>
      <c r="L19" s="382"/>
      <c r="M19" s="382" t="s">
        <v>23</v>
      </c>
      <c r="N19" s="382"/>
      <c r="O19" s="382"/>
      <c r="P19" s="377" t="s">
        <v>145</v>
      </c>
      <c r="Q19" s="378"/>
      <c r="R19" s="378"/>
      <c r="S19" s="378"/>
      <c r="T19" s="378"/>
      <c r="U19" s="378"/>
      <c r="V19" s="378"/>
      <c r="W19" s="378"/>
      <c r="X19" s="378"/>
      <c r="Y19" s="379"/>
      <c r="Z19" s="28"/>
      <c r="AA19" s="28"/>
      <c r="AB19" s="28"/>
    </row>
    <row r="20" spans="2:28" ht="19.5" customHeight="1" x14ac:dyDescent="0.25">
      <c r="B20" s="393" t="s">
        <v>6</v>
      </c>
      <c r="C20" s="393" t="s">
        <v>7</v>
      </c>
      <c r="D20" s="395" t="s">
        <v>8</v>
      </c>
      <c r="E20" s="245" t="s">
        <v>27</v>
      </c>
      <c r="F20" s="375" t="s">
        <v>18</v>
      </c>
      <c r="G20" s="376"/>
      <c r="H20" s="376"/>
      <c r="I20" s="376"/>
      <c r="J20" s="397"/>
      <c r="K20" s="375" t="s">
        <v>19</v>
      </c>
      <c r="L20" s="376"/>
      <c r="M20" s="376"/>
      <c r="N20" s="376"/>
      <c r="O20" s="376"/>
      <c r="P20" s="385" t="s">
        <v>192</v>
      </c>
      <c r="Q20" s="386"/>
      <c r="R20" s="385" t="s">
        <v>193</v>
      </c>
      <c r="S20" s="386"/>
      <c r="T20" s="385" t="s">
        <v>194</v>
      </c>
      <c r="U20" s="386"/>
      <c r="V20" s="385" t="s">
        <v>224</v>
      </c>
      <c r="W20" s="386"/>
      <c r="X20" s="385" t="s">
        <v>191</v>
      </c>
      <c r="Y20" s="386"/>
      <c r="Z20" s="385" t="s">
        <v>31</v>
      </c>
      <c r="AA20" s="386"/>
      <c r="AB20" s="28"/>
    </row>
    <row r="21" spans="2:28" ht="11.25" customHeight="1" x14ac:dyDescent="0.25">
      <c r="B21" s="394"/>
      <c r="C21" s="394"/>
      <c r="D21" s="396"/>
      <c r="E21" s="398" t="s">
        <v>96</v>
      </c>
      <c r="F21" s="383">
        <v>1</v>
      </c>
      <c r="G21" s="383">
        <v>2</v>
      </c>
      <c r="H21" s="383">
        <v>3</v>
      </c>
      <c r="I21" s="383">
        <v>4</v>
      </c>
      <c r="J21" s="383">
        <v>5</v>
      </c>
      <c r="K21" s="383">
        <v>6</v>
      </c>
      <c r="L21" s="383">
        <v>7</v>
      </c>
      <c r="M21" s="383">
        <v>8</v>
      </c>
      <c r="N21" s="383">
        <v>9</v>
      </c>
      <c r="O21" s="383">
        <v>10</v>
      </c>
      <c r="P21" s="387"/>
      <c r="Q21" s="388"/>
      <c r="R21" s="387"/>
      <c r="S21" s="388"/>
      <c r="T21" s="387"/>
      <c r="U21" s="388"/>
      <c r="V21" s="387"/>
      <c r="W21" s="388"/>
      <c r="X21" s="387"/>
      <c r="Y21" s="388"/>
      <c r="Z21" s="387"/>
      <c r="AA21" s="388"/>
      <c r="AB21" s="28"/>
    </row>
    <row r="22" spans="2:28" ht="11.25" customHeight="1" x14ac:dyDescent="0.25">
      <c r="B22" s="394"/>
      <c r="C22" s="394"/>
      <c r="D22" s="396"/>
      <c r="E22" s="399"/>
      <c r="F22" s="384"/>
      <c r="G22" s="384"/>
      <c r="H22" s="384"/>
      <c r="I22" s="384"/>
      <c r="J22" s="384"/>
      <c r="K22" s="384"/>
      <c r="L22" s="384"/>
      <c r="M22" s="384"/>
      <c r="N22" s="384"/>
      <c r="O22" s="384"/>
      <c r="P22" s="387"/>
      <c r="Q22" s="388"/>
      <c r="R22" s="387"/>
      <c r="S22" s="388"/>
      <c r="T22" s="387"/>
      <c r="U22" s="388"/>
      <c r="V22" s="387"/>
      <c r="W22" s="388"/>
      <c r="X22" s="387"/>
      <c r="Y22" s="388"/>
      <c r="Z22" s="387"/>
      <c r="AA22" s="388"/>
      <c r="AB22" s="28"/>
    </row>
    <row r="23" spans="2:28" ht="15" customHeight="1" x14ac:dyDescent="0.25">
      <c r="B23" s="394"/>
      <c r="C23" s="394"/>
      <c r="D23" s="396"/>
      <c r="E23" s="246" t="s">
        <v>28</v>
      </c>
      <c r="F23" s="247">
        <f>IF('BL-1'!C20="ü",1,IF('BL-1'!#REF!="ü",2,IF('BL-1'!C22="ü",3,IF('BL-1'!C23="ü",4,IF('BL-1'!C24="ü",5,0)))))</f>
        <v>1</v>
      </c>
      <c r="G23" s="247">
        <f>IF('BL-1'!D20="ü",1,IF('BL-1'!#REF!="ü",2,IF('BL-1'!D22="ü",3,IF('BL-1'!D23="ü",4,IF('BL-1'!D24="ü",5,0)))))</f>
        <v>1</v>
      </c>
      <c r="H23" s="247">
        <f>IF('BL-1'!E20="ü",1,IF('BL-1'!E21="ü",2,IF('BL-1'!E22="ü",3,IF('BL-1'!E23="ü",4,IF('BL-1'!E24="ü",5,0)))))</f>
        <v>2</v>
      </c>
      <c r="I23" s="247">
        <f>IF('BL-1'!F20="ü",1,IF('BL-1'!F21="ü",2,IF('BL-1'!F22="ü",3,IF('BL-1'!F23="ü",4,IF('BL-1'!F24="ü",5,0)))))</f>
        <v>2</v>
      </c>
      <c r="J23" s="247">
        <f>IF('BL-1'!G20="ü",1,IF('BL-1'!G21="ü",2,IF('BL-1'!G22="ü",3,IF('BL-1'!G23="ü",4,IF('BL-1'!G24="ü",5,0)))))</f>
        <v>3</v>
      </c>
      <c r="K23" s="247">
        <f>IF('BL-1'!H20="ü",1,IF('BL-1'!H21="ü",2,IF('BL-1'!H22="ü",3,IF('BL-1'!H23="ü",4,IF('BL-1'!H24="ü",5,0)))))</f>
        <v>1</v>
      </c>
      <c r="L23" s="247">
        <f>IF('BL-1'!I20="ü",1,IF('BL-1'!I21="ü",2,IF('BL-1'!I22="ü",3,IF('BL-1'!I23="ü",4,IF('BL-1'!I24="ü",5,0)))))</f>
        <v>2</v>
      </c>
      <c r="M23" s="247">
        <f>IF('BL-1'!J20="ü",1,IF('BL-1'!J21="ü",2,IF('BL-1'!J22="ü",3,IF('BL-1'!J23="ü",4,IF('BL-1'!J24="ü",5,0)))))</f>
        <v>2</v>
      </c>
      <c r="N23" s="247">
        <f>IF('BL-1'!K20&lt;&gt;"ü",1,IF('BL-1'!K21="ü",2,IF('BL-1'!K22="ü",3,IF('BL-1'!K23="ü",4,IF('BL-1'!K24="ü",5,0)))))</f>
        <v>1</v>
      </c>
      <c r="O23" s="247">
        <f>IF('BL-1'!L20="ü",1,IF('BL-1'!L21="ü",2,IF('BL-1'!L22="ü",3,IF('BL-1'!L23="ü",4,IF('BL-1'!L24="ü",5,0)))))</f>
        <v>1</v>
      </c>
      <c r="P23" s="387"/>
      <c r="Q23" s="388"/>
      <c r="R23" s="387"/>
      <c r="S23" s="388"/>
      <c r="T23" s="387"/>
      <c r="U23" s="388"/>
      <c r="V23" s="387"/>
      <c r="W23" s="388"/>
      <c r="X23" s="387"/>
      <c r="Y23" s="388"/>
      <c r="Z23" s="387"/>
      <c r="AA23" s="388"/>
      <c r="AB23" s="28"/>
    </row>
    <row r="24" spans="2:28" ht="15" customHeight="1" x14ac:dyDescent="0.25">
      <c r="B24" s="394"/>
      <c r="C24" s="394"/>
      <c r="D24" s="396"/>
      <c r="E24" s="246" t="s">
        <v>29</v>
      </c>
      <c r="F24" s="248" t="str">
        <f>IF('BL-1'!C25="ü","L1",IF('BL-1'!C26="ü","L2",IF('BL-1'!C27="ü","L3",IF('BL-1'!C28="ü","L4",IF('BL-1'!C29="ü","L5","L6")))))</f>
        <v>L2</v>
      </c>
      <c r="G24" s="248" t="str">
        <f>IF('BL-1'!D25="ü","L1",IF('BL-1'!D26="ü","L2",IF('BL-1'!D27="ü","L3",IF('BL-1'!D28="ü","L4",IF('BL-1'!D29="ü","L5","L6")))))</f>
        <v>L2</v>
      </c>
      <c r="H24" s="248" t="str">
        <f>IF('BL-1'!E25="ü","L1",IF('BL-1'!E26="ü","L2",IF('BL-1'!E27="ü","L3",IF('BL-1'!E28="ü","L4",IF('BL-1'!E29="ü","L5","L6")))))</f>
        <v>L1</v>
      </c>
      <c r="I24" s="248" t="str">
        <f>IF('BL-1'!F25="ü","L1",IF('BL-1'!F26="ü","L2",IF('BL-1'!F27="ü","L3",IF('BL-1'!F28="ü","L4",IF('BL-1'!F29="ü","L5","L6")))))</f>
        <v>L2</v>
      </c>
      <c r="J24" s="248" t="str">
        <f>IF('BL-1'!G25="ü","L1",IF('BL-1'!G26="ü","L2",IF('BL-1'!G27="ü","L3",IF('BL-1'!G28="ü","L4",IF('BL-1'!G29="ü","L5","L6")))))</f>
        <v>L2</v>
      </c>
      <c r="K24" s="248" t="str">
        <f>IF('BL-1'!H25="ü","L1",IF('BL-1'!H26="ü","L2",IF('BL-1'!H27="ü","L3",IF('BL-1'!H28="ü","L4",IF('BL-1'!H29="ü","L5","L6")))))</f>
        <v>L2</v>
      </c>
      <c r="L24" s="248" t="str">
        <f>IF('BL-1'!I25="ü","L1",IF('BL-1'!I26="ü","L2",IF('BL-1'!I27="ü","L3",IF('BL-1'!I28="ü","L4",IF('BL-1'!I29="ü","L5","L6")))))</f>
        <v>L2</v>
      </c>
      <c r="M24" s="248" t="str">
        <f>IF('BL-1'!J25="ü","L1",IF('BL-1'!J26="ü","L2",IF('BL-1'!J27="ü","L3",IF('BL-1'!J28="ü","L4",IF('BL-1'!J29="ü","L5","L6")))))</f>
        <v>L2</v>
      </c>
      <c r="N24" s="248" t="str">
        <f>IF('BL-1'!K25="ü","L1",IF('BL-1'!K26="ü","L2",IF('BL-1'!K27="ü","L3",IF('BL-1'!K28="ü","L4",IF('BL-1'!K29="ü","L5","L6")))))</f>
        <v>L2</v>
      </c>
      <c r="O24" s="248" t="str">
        <f>IF('BL-1'!L25="ü","L1",IF('BL-1'!L26="ü","L2",IF('BL-1'!L27="ü","L3",IF('BL-1'!L28="ü","L4",IF('BL-1'!L29="ü","L5","L6")))))</f>
        <v>L2</v>
      </c>
      <c r="P24" s="389"/>
      <c r="Q24" s="390"/>
      <c r="R24" s="389"/>
      <c r="S24" s="390"/>
      <c r="T24" s="389"/>
      <c r="U24" s="390"/>
      <c r="V24" s="389"/>
      <c r="W24" s="390"/>
      <c r="X24" s="389"/>
      <c r="Y24" s="390"/>
      <c r="Z24" s="389"/>
      <c r="AA24" s="390"/>
      <c r="AB24" s="28"/>
    </row>
    <row r="25" spans="2:28" ht="15" customHeight="1" x14ac:dyDescent="0.25">
      <c r="B25" s="394"/>
      <c r="C25" s="394"/>
      <c r="D25" s="396"/>
      <c r="E25" s="249" t="s">
        <v>30</v>
      </c>
      <c r="F25" s="249">
        <v>2</v>
      </c>
      <c r="G25" s="249">
        <v>2</v>
      </c>
      <c r="H25" s="249">
        <v>2</v>
      </c>
      <c r="I25" s="249">
        <v>2</v>
      </c>
      <c r="J25" s="249">
        <v>2</v>
      </c>
      <c r="K25" s="249">
        <v>7</v>
      </c>
      <c r="L25" s="249">
        <v>7</v>
      </c>
      <c r="M25" s="249">
        <v>7</v>
      </c>
      <c r="N25" s="249">
        <v>7</v>
      </c>
      <c r="O25" s="249">
        <v>12</v>
      </c>
      <c r="P25" s="250">
        <f>SUMIF('BL-1'!$C$20:$L$20,"*",'IAT-1'!F25:O25)</f>
        <v>23</v>
      </c>
      <c r="Q25" s="250">
        <v>100</v>
      </c>
      <c r="R25" s="250">
        <f>SUMIF('BL-1'!$C$21:$L$21,"*",'IAT-1'!F25:O25)</f>
        <v>18</v>
      </c>
      <c r="S25" s="250">
        <v>100</v>
      </c>
      <c r="T25" s="250">
        <f>SUMIF('BL-1'!$C$22:$L$22,"*",'IAT-1'!F25:O25)</f>
        <v>9</v>
      </c>
      <c r="U25" s="250">
        <v>100</v>
      </c>
      <c r="V25" s="250">
        <f>SUMIF('BL-1'!$C$23:$L$23,"*",'IAT-1'!F25:O25)</f>
        <v>0</v>
      </c>
      <c r="W25" s="250">
        <v>100</v>
      </c>
      <c r="X25" s="250">
        <f>SUMIF('BL-1'!$C$24:$L$24,"*",'IAT-1'!F25:O25)</f>
        <v>0</v>
      </c>
      <c r="Y25" s="250">
        <v>100</v>
      </c>
      <c r="Z25" s="250">
        <v>50</v>
      </c>
      <c r="AA25" s="250">
        <f>Z25*2</f>
        <v>100</v>
      </c>
      <c r="AB25" s="28"/>
    </row>
    <row r="26" spans="2:28" x14ac:dyDescent="0.25">
      <c r="B26" s="2">
        <v>1</v>
      </c>
      <c r="C26" s="112">
        <f>'I1'!B15</f>
        <v>951323243001</v>
      </c>
      <c r="D26" s="251" t="str">
        <f>'I1'!C15</f>
        <v>ABINAYA S</v>
      </c>
      <c r="E26" s="252"/>
      <c r="F26" s="253">
        <f>'I1'!D15</f>
        <v>2</v>
      </c>
      <c r="G26" s="253">
        <f>'I1'!E15</f>
        <v>2</v>
      </c>
      <c r="H26" s="253">
        <f>'I1'!F15</f>
        <v>2</v>
      </c>
      <c r="I26" s="253">
        <f>'I1'!G15</f>
        <v>2</v>
      </c>
      <c r="J26" s="253">
        <f>'I1'!H15</f>
        <v>1</v>
      </c>
      <c r="K26" s="254">
        <f>'I1'!I15+'I1'!J15</f>
        <v>7</v>
      </c>
      <c r="L26" s="254">
        <f>'I1'!K15+'I1'!L15</f>
        <v>6</v>
      </c>
      <c r="M26" s="254">
        <f>'I1'!M15+'I1'!N15</f>
        <v>5</v>
      </c>
      <c r="N26" s="254">
        <f>'I1'!O15+'I1'!P15</f>
        <v>0</v>
      </c>
      <c r="O26" s="254">
        <f>'I1'!Q15+'I1'!R15</f>
        <v>12</v>
      </c>
      <c r="P26" s="254">
        <f>SUMIF('BL-1'!$C$20:$L$20,"*",'IAT-1'!F26:O26)</f>
        <v>23</v>
      </c>
      <c r="Q26" s="254">
        <f>ROUND(IFERROR(P26/P$25,0)*100,1)</f>
        <v>100</v>
      </c>
      <c r="R26" s="254">
        <f>SUMIF('BL-1'!$C$21:$L$21,"*",'IAT-1'!F26:O26)</f>
        <v>15</v>
      </c>
      <c r="S26" s="254">
        <f>ROUND(IFERROR(R26/R$25,0)*100,1)</f>
        <v>83.3</v>
      </c>
      <c r="T26" s="254">
        <f>SUMIF('BL-1'!$C$22:$L$22,"*",'IAT-1'!F26:O26)</f>
        <v>1</v>
      </c>
      <c r="U26" s="254">
        <f>ROUND(IFERROR(T26/T$25,0)*100,1)</f>
        <v>11.1</v>
      </c>
      <c r="V26" s="254">
        <f>SUMIF('BL-1'!$C$23:$L$23,"*",'IAT-1'!F26:O26)</f>
        <v>0</v>
      </c>
      <c r="W26" s="254">
        <f>ROUND(IFERROR(V26/V$25,0)*100,1)</f>
        <v>0</v>
      </c>
      <c r="X26" s="254">
        <f>SUMIF('BL-1'!$C$24:$L$24,"*",'IAT-1'!F26:O26)</f>
        <v>0</v>
      </c>
      <c r="Y26" s="254">
        <f>ROUND(IFERROR(X26/X$25,0)*100,1)</f>
        <v>0</v>
      </c>
      <c r="Z26" s="254">
        <f>SUM(P26,R26,T26,V26,X26)</f>
        <v>39</v>
      </c>
      <c r="AA26" s="254">
        <f>Z26*2</f>
        <v>78</v>
      </c>
      <c r="AB26" s="28"/>
    </row>
    <row r="27" spans="2:28" x14ac:dyDescent="0.25">
      <c r="B27" s="2">
        <v>2</v>
      </c>
      <c r="C27" s="112">
        <f>'I1'!B16</f>
        <v>951323243002</v>
      </c>
      <c r="D27" s="251" t="str">
        <f>'I1'!C16</f>
        <v>ABISHEK S</v>
      </c>
      <c r="E27" s="252"/>
      <c r="F27" s="253">
        <f>'I1'!D16</f>
        <v>2</v>
      </c>
      <c r="G27" s="253">
        <f>'I1'!E16</f>
        <v>2</v>
      </c>
      <c r="H27" s="253">
        <f>'I1'!F16</f>
        <v>2</v>
      </c>
      <c r="I27" s="253">
        <f>'I1'!G16</f>
        <v>2</v>
      </c>
      <c r="J27" s="253">
        <f>'I1'!H16</f>
        <v>1</v>
      </c>
      <c r="K27" s="254">
        <f>'I1'!I16+'I1'!J16</f>
        <v>0</v>
      </c>
      <c r="L27" s="254">
        <f>'I1'!K16+'I1'!L16</f>
        <v>5</v>
      </c>
      <c r="M27" s="254">
        <f>'I1'!M16+'I1'!N16</f>
        <v>0</v>
      </c>
      <c r="N27" s="254">
        <f>'I1'!O16+'I1'!P16</f>
        <v>7</v>
      </c>
      <c r="O27" s="254">
        <f>'I1'!Q16+'I1'!R16</f>
        <v>12</v>
      </c>
      <c r="P27" s="254">
        <f>SUMIF('BL-1'!$C$20:$L$20,"*",'IAT-1'!F27:O27)</f>
        <v>16</v>
      </c>
      <c r="Q27" s="254">
        <f t="shared" ref="Q27:Q82" si="0">ROUND(IFERROR(P27/P$25,0)*100,1)</f>
        <v>69.599999999999994</v>
      </c>
      <c r="R27" s="254">
        <f>SUMIF('BL-1'!$C$21:$L$21,"*",'IAT-1'!F27:O27)</f>
        <v>9</v>
      </c>
      <c r="S27" s="254">
        <f t="shared" ref="S27:S82" si="1">ROUND(IFERROR(R27/R$25,0)*100,1)</f>
        <v>50</v>
      </c>
      <c r="T27" s="254">
        <f>SUMIF('BL-1'!$C$22:$L$22,"*",'IAT-1'!F27:O27)</f>
        <v>8</v>
      </c>
      <c r="U27" s="254">
        <f t="shared" ref="U27:U82" si="2">ROUND(IFERROR(T27/T$25,0)*100,1)</f>
        <v>88.9</v>
      </c>
      <c r="V27" s="254">
        <f>SUMIF('BL-1'!$C$23:$L$23,"*",'IAT-1'!F27:O27)</f>
        <v>0</v>
      </c>
      <c r="W27" s="254">
        <f t="shared" ref="W27:W82" si="3">ROUND(IFERROR(V27/V$25,0)*100,1)</f>
        <v>0</v>
      </c>
      <c r="X27" s="254">
        <f>SUMIF('BL-1'!$C$24:$L$24,"*",'IAT-1'!F27:O27)</f>
        <v>0</v>
      </c>
      <c r="Y27" s="254">
        <f t="shared" ref="Y27:Y82" si="4">ROUND(IFERROR(X27/X$25,0)*100,1)</f>
        <v>0</v>
      </c>
      <c r="Z27" s="254">
        <f t="shared" ref="Z27:Z82" si="5">SUM(P27,R27,T27,V27,X27)</f>
        <v>33</v>
      </c>
      <c r="AA27" s="254">
        <f t="shared" ref="AA27:AA82" si="6">Z27*2</f>
        <v>66</v>
      </c>
      <c r="AB27" s="28"/>
    </row>
    <row r="28" spans="2:28" x14ac:dyDescent="0.25">
      <c r="B28" s="2">
        <v>3</v>
      </c>
      <c r="C28" s="112">
        <f>'I1'!B17</f>
        <v>951323243003</v>
      </c>
      <c r="D28" s="251" t="str">
        <f>'I1'!C17</f>
        <v>AJEETHA S</v>
      </c>
      <c r="E28" s="252"/>
      <c r="F28" s="253">
        <f>'I1'!D17</f>
        <v>2</v>
      </c>
      <c r="G28" s="253">
        <f>'I1'!E17</f>
        <v>2</v>
      </c>
      <c r="H28" s="253">
        <f>'I1'!F17</f>
        <v>2</v>
      </c>
      <c r="I28" s="253">
        <f>'I1'!G17</f>
        <v>2</v>
      </c>
      <c r="J28" s="253">
        <f>'I1'!H17</f>
        <v>2</v>
      </c>
      <c r="K28" s="254">
        <f>'I1'!I17+'I1'!J17</f>
        <v>5</v>
      </c>
      <c r="L28" s="254">
        <f>'I1'!K17+'I1'!L17</f>
        <v>7</v>
      </c>
      <c r="M28" s="254">
        <f>'I1'!M17+'I1'!N17</f>
        <v>7</v>
      </c>
      <c r="N28" s="254">
        <f>'I1'!O17+'I1'!P17</f>
        <v>7</v>
      </c>
      <c r="O28" s="254">
        <f>'I1'!Q17+'I1'!R17</f>
        <v>12</v>
      </c>
      <c r="P28" s="254">
        <f>SUMIF('BL-1'!$C$20:$L$20,"*",'IAT-1'!F28:O28)</f>
        <v>21</v>
      </c>
      <c r="Q28" s="254">
        <f t="shared" si="0"/>
        <v>91.3</v>
      </c>
      <c r="R28" s="254">
        <f>SUMIF('BL-1'!$C$21:$L$21,"*",'IAT-1'!F28:O28)</f>
        <v>18</v>
      </c>
      <c r="S28" s="254">
        <f t="shared" si="1"/>
        <v>100</v>
      </c>
      <c r="T28" s="254">
        <f>SUMIF('BL-1'!$C$22:$L$22,"*",'IAT-1'!F28:O28)</f>
        <v>9</v>
      </c>
      <c r="U28" s="254">
        <f t="shared" si="2"/>
        <v>100</v>
      </c>
      <c r="V28" s="254">
        <f>SUMIF('BL-1'!$C$23:$L$23,"*",'IAT-1'!F28:O28)</f>
        <v>0</v>
      </c>
      <c r="W28" s="254">
        <f t="shared" si="3"/>
        <v>0</v>
      </c>
      <c r="X28" s="254">
        <f>SUMIF('BL-1'!$C$24:$L$24,"*",'IAT-1'!F28:O28)</f>
        <v>0</v>
      </c>
      <c r="Y28" s="254">
        <f t="shared" si="4"/>
        <v>0</v>
      </c>
      <c r="Z28" s="254">
        <f t="shared" si="5"/>
        <v>48</v>
      </c>
      <c r="AA28" s="254">
        <f t="shared" si="6"/>
        <v>96</v>
      </c>
      <c r="AB28" s="28"/>
    </row>
    <row r="29" spans="2:28" x14ac:dyDescent="0.25">
      <c r="B29" s="2">
        <v>4</v>
      </c>
      <c r="C29" s="112">
        <f>'I1'!B18</f>
        <v>951323243004</v>
      </c>
      <c r="D29" s="251" t="str">
        <f>'I1'!C18</f>
        <v>AJIM FAYAZ K M S</v>
      </c>
      <c r="E29" s="252"/>
      <c r="F29" s="253">
        <f>'I1'!D18</f>
        <v>0</v>
      </c>
      <c r="G29" s="253">
        <f>'I1'!E18</f>
        <v>0</v>
      </c>
      <c r="H29" s="253">
        <f>'I1'!F18</f>
        <v>0</v>
      </c>
      <c r="I29" s="253">
        <f>'I1'!G18</f>
        <v>0</v>
      </c>
      <c r="J29" s="253">
        <f>'I1'!H18</f>
        <v>0</v>
      </c>
      <c r="K29" s="254">
        <f>'I1'!I18+'I1'!J18</f>
        <v>0</v>
      </c>
      <c r="L29" s="254">
        <f>'I1'!K18+'I1'!L18</f>
        <v>0</v>
      </c>
      <c r="M29" s="254">
        <f>'I1'!M18+'I1'!N18</f>
        <v>0</v>
      </c>
      <c r="N29" s="254">
        <f>'I1'!O18+'I1'!P18</f>
        <v>0</v>
      </c>
      <c r="O29" s="254">
        <f>'I1'!Q18+'I1'!R18</f>
        <v>0</v>
      </c>
      <c r="P29" s="254">
        <f>SUMIF('BL-1'!$C$20:$L$20,"*",'IAT-1'!F29:O29)</f>
        <v>0</v>
      </c>
      <c r="Q29" s="254">
        <f t="shared" si="0"/>
        <v>0</v>
      </c>
      <c r="R29" s="254">
        <f>SUMIF('BL-1'!$C$21:$L$21,"*",'IAT-1'!F29:O29)</f>
        <v>0</v>
      </c>
      <c r="S29" s="254">
        <f t="shared" si="1"/>
        <v>0</v>
      </c>
      <c r="T29" s="254">
        <f>SUMIF('BL-1'!$C$22:$L$22,"*",'IAT-1'!F29:O29)</f>
        <v>0</v>
      </c>
      <c r="U29" s="254">
        <f t="shared" si="2"/>
        <v>0</v>
      </c>
      <c r="V29" s="254">
        <f>SUMIF('BL-1'!$C$23:$L$23,"*",'IAT-1'!F29:O29)</f>
        <v>0</v>
      </c>
      <c r="W29" s="254">
        <f t="shared" si="3"/>
        <v>0</v>
      </c>
      <c r="X29" s="254">
        <f>SUMIF('BL-1'!$C$24:$L$24,"*",'IAT-1'!F29:O29)</f>
        <v>0</v>
      </c>
      <c r="Y29" s="254">
        <f t="shared" si="4"/>
        <v>0</v>
      </c>
      <c r="Z29" s="254">
        <f t="shared" si="5"/>
        <v>0</v>
      </c>
      <c r="AA29" s="254">
        <f t="shared" si="6"/>
        <v>0</v>
      </c>
      <c r="AB29" s="28"/>
    </row>
    <row r="30" spans="2:28" x14ac:dyDescent="0.25">
      <c r="B30" s="2">
        <v>5</v>
      </c>
      <c r="C30" s="112">
        <f>'I1'!B19</f>
        <v>951323243005</v>
      </c>
      <c r="D30" s="251" t="str">
        <f>'I1'!C19</f>
        <v>ALPHONES CRUZ NAVEEN J</v>
      </c>
      <c r="E30" s="252"/>
      <c r="F30" s="253">
        <f>'I1'!D19</f>
        <v>1</v>
      </c>
      <c r="G30" s="253">
        <f>'I1'!E19</f>
        <v>0</v>
      </c>
      <c r="H30" s="253">
        <f>'I1'!F19</f>
        <v>0</v>
      </c>
      <c r="I30" s="253">
        <f>'I1'!G19</f>
        <v>0</v>
      </c>
      <c r="J30" s="253">
        <f>'I1'!H19</f>
        <v>0</v>
      </c>
      <c r="K30" s="254">
        <f>'I1'!I19+'I1'!J19</f>
        <v>0</v>
      </c>
      <c r="L30" s="254">
        <f>'I1'!K19+'I1'!L19</f>
        <v>0</v>
      </c>
      <c r="M30" s="254">
        <f>'I1'!M19+'I1'!N19</f>
        <v>0</v>
      </c>
      <c r="N30" s="254">
        <f>'I1'!O19+'I1'!P19</f>
        <v>0</v>
      </c>
      <c r="O30" s="254">
        <f>'I1'!Q19+'I1'!R19</f>
        <v>2</v>
      </c>
      <c r="P30" s="254">
        <f>SUMIF('BL-1'!$C$20:$L$20,"*",'IAT-1'!F30:O30)</f>
        <v>3</v>
      </c>
      <c r="Q30" s="254">
        <f t="shared" si="0"/>
        <v>13</v>
      </c>
      <c r="R30" s="254">
        <f>SUMIF('BL-1'!$C$21:$L$21,"*",'IAT-1'!F30:O30)</f>
        <v>0</v>
      </c>
      <c r="S30" s="254">
        <f t="shared" si="1"/>
        <v>0</v>
      </c>
      <c r="T30" s="254">
        <f>SUMIF('BL-1'!$C$22:$L$22,"*",'IAT-1'!F30:O30)</f>
        <v>0</v>
      </c>
      <c r="U30" s="254">
        <f t="shared" si="2"/>
        <v>0</v>
      </c>
      <c r="V30" s="254">
        <f>SUMIF('BL-1'!$C$23:$L$23,"*",'IAT-1'!F30:O30)</f>
        <v>0</v>
      </c>
      <c r="W30" s="254">
        <f t="shared" si="3"/>
        <v>0</v>
      </c>
      <c r="X30" s="254">
        <f>SUMIF('BL-1'!$C$24:$L$24,"*",'IAT-1'!F30:O30)</f>
        <v>0</v>
      </c>
      <c r="Y30" s="254">
        <f t="shared" si="4"/>
        <v>0</v>
      </c>
      <c r="Z30" s="254">
        <f t="shared" si="5"/>
        <v>3</v>
      </c>
      <c r="AA30" s="254">
        <f t="shared" si="6"/>
        <v>6</v>
      </c>
      <c r="AB30" s="28"/>
    </row>
    <row r="31" spans="2:28" x14ac:dyDescent="0.25">
      <c r="B31" s="2">
        <v>6</v>
      </c>
      <c r="C31" s="112">
        <f>'I1'!B20</f>
        <v>951323243006</v>
      </c>
      <c r="D31" s="251" t="str">
        <f>'I1'!C20</f>
        <v>ANGEL AGNES D</v>
      </c>
      <c r="E31" s="252"/>
      <c r="F31" s="253">
        <f>'I1'!D20</f>
        <v>2</v>
      </c>
      <c r="G31" s="253">
        <f>'I1'!E20</f>
        <v>2</v>
      </c>
      <c r="H31" s="253">
        <f>'I1'!F20</f>
        <v>2</v>
      </c>
      <c r="I31" s="253">
        <f>'I1'!G20</f>
        <v>2</v>
      </c>
      <c r="J31" s="253">
        <f>'I1'!H20</f>
        <v>1</v>
      </c>
      <c r="K31" s="254">
        <f>'I1'!I20+'I1'!J20</f>
        <v>5</v>
      </c>
      <c r="L31" s="254">
        <f>'I1'!K20+'I1'!L20</f>
        <v>7</v>
      </c>
      <c r="M31" s="254">
        <f>'I1'!M20+'I1'!N20</f>
        <v>7</v>
      </c>
      <c r="N31" s="254">
        <f>'I1'!O20+'I1'!P20</f>
        <v>5</v>
      </c>
      <c r="O31" s="254">
        <f>'I1'!Q20+'I1'!R20</f>
        <v>12</v>
      </c>
      <c r="P31" s="254">
        <f>SUMIF('BL-1'!$C$20:$L$20,"*",'IAT-1'!F31:O31)</f>
        <v>21</v>
      </c>
      <c r="Q31" s="254">
        <f t="shared" si="0"/>
        <v>91.3</v>
      </c>
      <c r="R31" s="254">
        <f>SUMIF('BL-1'!$C$21:$L$21,"*",'IAT-1'!F31:O31)</f>
        <v>18</v>
      </c>
      <c r="S31" s="254">
        <f t="shared" si="1"/>
        <v>100</v>
      </c>
      <c r="T31" s="254">
        <f>SUMIF('BL-1'!$C$22:$L$22,"*",'IAT-1'!F31:O31)</f>
        <v>6</v>
      </c>
      <c r="U31" s="254">
        <f t="shared" si="2"/>
        <v>66.7</v>
      </c>
      <c r="V31" s="254">
        <f>SUMIF('BL-1'!$C$23:$L$23,"*",'IAT-1'!F31:O31)</f>
        <v>0</v>
      </c>
      <c r="W31" s="254">
        <f t="shared" si="3"/>
        <v>0</v>
      </c>
      <c r="X31" s="254">
        <f>SUMIF('BL-1'!$C$24:$L$24,"*",'IAT-1'!F31:O31)</f>
        <v>0</v>
      </c>
      <c r="Y31" s="254">
        <f t="shared" si="4"/>
        <v>0</v>
      </c>
      <c r="Z31" s="254">
        <f t="shared" si="5"/>
        <v>45</v>
      </c>
      <c r="AA31" s="254">
        <f t="shared" si="6"/>
        <v>90</v>
      </c>
      <c r="AB31" s="28"/>
    </row>
    <row r="32" spans="2:28" x14ac:dyDescent="0.25">
      <c r="B32" s="2">
        <v>7</v>
      </c>
      <c r="C32" s="112">
        <f>'I1'!B21</f>
        <v>951323243007</v>
      </c>
      <c r="D32" s="251" t="str">
        <f>'I1'!C21</f>
        <v>ANUSHA P</v>
      </c>
      <c r="E32" s="252"/>
      <c r="F32" s="253">
        <f>'I1'!D21</f>
        <v>2</v>
      </c>
      <c r="G32" s="253">
        <f>'I1'!E21</f>
        <v>2</v>
      </c>
      <c r="H32" s="253">
        <f>'I1'!F21</f>
        <v>2</v>
      </c>
      <c r="I32" s="253">
        <f>'I1'!G21</f>
        <v>2</v>
      </c>
      <c r="J32" s="253">
        <f>'I1'!H21</f>
        <v>2</v>
      </c>
      <c r="K32" s="254">
        <f>'I1'!I21+'I1'!J21</f>
        <v>7</v>
      </c>
      <c r="L32" s="254">
        <f>'I1'!K21+'I1'!L21</f>
        <v>7</v>
      </c>
      <c r="M32" s="254">
        <f>'I1'!M21+'I1'!N21</f>
        <v>7</v>
      </c>
      <c r="N32" s="254">
        <f>'I1'!O21+'I1'!P21</f>
        <v>7</v>
      </c>
      <c r="O32" s="254">
        <f>'I1'!Q21+'I1'!R21</f>
        <v>12</v>
      </c>
      <c r="P32" s="254">
        <f>SUMIF('BL-1'!$C$20:$L$20,"*",'IAT-1'!F32:O32)</f>
        <v>23</v>
      </c>
      <c r="Q32" s="254">
        <f t="shared" si="0"/>
        <v>100</v>
      </c>
      <c r="R32" s="254">
        <f>SUMIF('BL-1'!$C$21:$L$21,"*",'IAT-1'!F32:O32)</f>
        <v>18</v>
      </c>
      <c r="S32" s="254">
        <f t="shared" si="1"/>
        <v>100</v>
      </c>
      <c r="T32" s="254">
        <f>SUMIF('BL-1'!$C$22:$L$22,"*",'IAT-1'!F32:O32)</f>
        <v>9</v>
      </c>
      <c r="U32" s="254">
        <f t="shared" si="2"/>
        <v>100</v>
      </c>
      <c r="V32" s="254">
        <f>SUMIF('BL-1'!$C$23:$L$23,"*",'IAT-1'!F32:O32)</f>
        <v>0</v>
      </c>
      <c r="W32" s="254">
        <f t="shared" si="3"/>
        <v>0</v>
      </c>
      <c r="X32" s="254">
        <f>SUMIF('BL-1'!$C$24:$L$24,"*",'IAT-1'!F32:O32)</f>
        <v>0</v>
      </c>
      <c r="Y32" s="254">
        <f t="shared" si="4"/>
        <v>0</v>
      </c>
      <c r="Z32" s="254">
        <f t="shared" si="5"/>
        <v>50</v>
      </c>
      <c r="AA32" s="254">
        <f t="shared" si="6"/>
        <v>100</v>
      </c>
      <c r="AB32" s="28"/>
    </row>
    <row r="33" spans="2:28" x14ac:dyDescent="0.25">
      <c r="B33" s="2">
        <v>8</v>
      </c>
      <c r="C33" s="112">
        <f>'I1'!B22</f>
        <v>951323243008</v>
      </c>
      <c r="D33" s="251" t="str">
        <f>'I1'!C22</f>
        <v>ARIBA M</v>
      </c>
      <c r="E33" s="252"/>
      <c r="F33" s="253">
        <f>'I1'!D22</f>
        <v>2</v>
      </c>
      <c r="G33" s="253">
        <f>'I1'!E22</f>
        <v>1</v>
      </c>
      <c r="H33" s="253">
        <f>'I1'!F22</f>
        <v>2</v>
      </c>
      <c r="I33" s="253">
        <f>'I1'!G22</f>
        <v>2</v>
      </c>
      <c r="J33" s="253">
        <f>'I1'!H22</f>
        <v>1</v>
      </c>
      <c r="K33" s="254">
        <f>'I1'!I22+'I1'!J22</f>
        <v>1</v>
      </c>
      <c r="L33" s="254">
        <f>'I1'!K22+'I1'!L22</f>
        <v>7</v>
      </c>
      <c r="M33" s="254">
        <f>'I1'!M22+'I1'!N22</f>
        <v>7</v>
      </c>
      <c r="N33" s="254">
        <f>'I1'!O22+'I1'!P22</f>
        <v>7</v>
      </c>
      <c r="O33" s="254">
        <f>'I1'!Q22+'I1'!R22</f>
        <v>12</v>
      </c>
      <c r="P33" s="254">
        <f>SUMIF('BL-1'!$C$20:$L$20,"*",'IAT-1'!F33:O33)</f>
        <v>16</v>
      </c>
      <c r="Q33" s="254">
        <f t="shared" si="0"/>
        <v>69.599999999999994</v>
      </c>
      <c r="R33" s="254">
        <f>SUMIF('BL-1'!$C$21:$L$21,"*",'IAT-1'!F33:O33)</f>
        <v>18</v>
      </c>
      <c r="S33" s="254">
        <f t="shared" si="1"/>
        <v>100</v>
      </c>
      <c r="T33" s="254">
        <f>SUMIF('BL-1'!$C$22:$L$22,"*",'IAT-1'!F33:O33)</f>
        <v>8</v>
      </c>
      <c r="U33" s="254">
        <f t="shared" si="2"/>
        <v>88.9</v>
      </c>
      <c r="V33" s="254">
        <f>SUMIF('BL-1'!$C$23:$L$23,"*",'IAT-1'!F33:O33)</f>
        <v>0</v>
      </c>
      <c r="W33" s="254">
        <f t="shared" si="3"/>
        <v>0</v>
      </c>
      <c r="X33" s="254">
        <f>SUMIF('BL-1'!$C$24:$L$24,"*",'IAT-1'!F33:O33)</f>
        <v>0</v>
      </c>
      <c r="Y33" s="254">
        <f t="shared" si="4"/>
        <v>0</v>
      </c>
      <c r="Z33" s="254">
        <f t="shared" si="5"/>
        <v>42</v>
      </c>
      <c r="AA33" s="254">
        <f t="shared" si="6"/>
        <v>84</v>
      </c>
      <c r="AB33" s="28"/>
    </row>
    <row r="34" spans="2:28" x14ac:dyDescent="0.25">
      <c r="B34" s="2">
        <v>9</v>
      </c>
      <c r="C34" s="112">
        <f>'I1'!B23</f>
        <v>951323243009</v>
      </c>
      <c r="D34" s="251" t="str">
        <f>'I1'!C23</f>
        <v>BALADHARSHINI S</v>
      </c>
      <c r="E34" s="252"/>
      <c r="F34" s="253">
        <f>'I1'!D23</f>
        <v>1</v>
      </c>
      <c r="G34" s="253">
        <f>'I1'!E23</f>
        <v>1</v>
      </c>
      <c r="H34" s="253">
        <f>'I1'!F23</f>
        <v>2</v>
      </c>
      <c r="I34" s="253">
        <f>'I1'!G23</f>
        <v>1</v>
      </c>
      <c r="J34" s="253">
        <f>'I1'!H23</f>
        <v>1</v>
      </c>
      <c r="K34" s="254">
        <f>'I1'!I23+'I1'!J23</f>
        <v>7</v>
      </c>
      <c r="L34" s="254">
        <f>'I1'!K23+'I1'!L23</f>
        <v>6</v>
      </c>
      <c r="M34" s="254">
        <f>'I1'!M23+'I1'!N23</f>
        <v>3</v>
      </c>
      <c r="N34" s="254">
        <f>'I1'!O23+'I1'!P23</f>
        <v>7</v>
      </c>
      <c r="O34" s="254">
        <f>'I1'!Q23+'I1'!R23</f>
        <v>12</v>
      </c>
      <c r="P34" s="254">
        <f>SUMIF('BL-1'!$C$20:$L$20,"*",'IAT-1'!F34:O34)</f>
        <v>21</v>
      </c>
      <c r="Q34" s="254">
        <f t="shared" si="0"/>
        <v>91.3</v>
      </c>
      <c r="R34" s="254">
        <f>SUMIF('BL-1'!$C$21:$L$21,"*",'IAT-1'!F34:O34)</f>
        <v>12</v>
      </c>
      <c r="S34" s="254">
        <f t="shared" si="1"/>
        <v>66.7</v>
      </c>
      <c r="T34" s="254">
        <f>SUMIF('BL-1'!$C$22:$L$22,"*",'IAT-1'!F34:O34)</f>
        <v>8</v>
      </c>
      <c r="U34" s="254">
        <f t="shared" si="2"/>
        <v>88.9</v>
      </c>
      <c r="V34" s="254">
        <f>SUMIF('BL-1'!$C$23:$L$23,"*",'IAT-1'!F34:O34)</f>
        <v>0</v>
      </c>
      <c r="W34" s="254">
        <f t="shared" si="3"/>
        <v>0</v>
      </c>
      <c r="X34" s="254">
        <f>SUMIF('BL-1'!$C$24:$L$24,"*",'IAT-1'!F34:O34)</f>
        <v>0</v>
      </c>
      <c r="Y34" s="254">
        <f t="shared" si="4"/>
        <v>0</v>
      </c>
      <c r="Z34" s="254">
        <f t="shared" si="5"/>
        <v>41</v>
      </c>
      <c r="AA34" s="254">
        <f t="shared" si="6"/>
        <v>82</v>
      </c>
      <c r="AB34" s="28"/>
    </row>
    <row r="35" spans="2:28" x14ac:dyDescent="0.25">
      <c r="B35" s="2">
        <v>10</v>
      </c>
      <c r="C35" s="112">
        <f>'I1'!B24</f>
        <v>951323243010</v>
      </c>
      <c r="D35" s="251" t="str">
        <f>'I1'!C24</f>
        <v>BALASANKAR AYYAPPAN M</v>
      </c>
      <c r="E35" s="252"/>
      <c r="F35" s="253">
        <f>'I1'!D24</f>
        <v>2</v>
      </c>
      <c r="G35" s="253">
        <f>'I1'!E24</f>
        <v>2</v>
      </c>
      <c r="H35" s="253">
        <f>'I1'!F24</f>
        <v>2</v>
      </c>
      <c r="I35" s="253">
        <f>'I1'!G24</f>
        <v>2</v>
      </c>
      <c r="J35" s="253">
        <f>'I1'!H24</f>
        <v>1</v>
      </c>
      <c r="K35" s="254">
        <f>'I1'!I24+'I1'!J24</f>
        <v>6</v>
      </c>
      <c r="L35" s="254">
        <f>'I1'!K24+'I1'!L24</f>
        <v>7</v>
      </c>
      <c r="M35" s="254">
        <f>'I1'!M24+'I1'!N24</f>
        <v>2</v>
      </c>
      <c r="N35" s="254">
        <f>'I1'!O24+'I1'!P24</f>
        <v>7</v>
      </c>
      <c r="O35" s="254">
        <f>'I1'!Q24+'I1'!R24</f>
        <v>12</v>
      </c>
      <c r="P35" s="254">
        <f>SUMIF('BL-1'!$C$20:$L$20,"*",'IAT-1'!F35:O35)</f>
        <v>22</v>
      </c>
      <c r="Q35" s="254">
        <f t="shared" si="0"/>
        <v>95.7</v>
      </c>
      <c r="R35" s="254">
        <f>SUMIF('BL-1'!$C$21:$L$21,"*",'IAT-1'!F35:O35)</f>
        <v>13</v>
      </c>
      <c r="S35" s="254">
        <f t="shared" si="1"/>
        <v>72.2</v>
      </c>
      <c r="T35" s="254">
        <f>SUMIF('BL-1'!$C$22:$L$22,"*",'IAT-1'!F35:O35)</f>
        <v>8</v>
      </c>
      <c r="U35" s="254">
        <f t="shared" si="2"/>
        <v>88.9</v>
      </c>
      <c r="V35" s="254">
        <f>SUMIF('BL-1'!$C$23:$L$23,"*",'IAT-1'!F35:O35)</f>
        <v>0</v>
      </c>
      <c r="W35" s="254">
        <f t="shared" si="3"/>
        <v>0</v>
      </c>
      <c r="X35" s="254">
        <f>SUMIF('BL-1'!$C$24:$L$24,"*",'IAT-1'!F35:O35)</f>
        <v>0</v>
      </c>
      <c r="Y35" s="254">
        <f t="shared" si="4"/>
        <v>0</v>
      </c>
      <c r="Z35" s="254">
        <f t="shared" si="5"/>
        <v>43</v>
      </c>
      <c r="AA35" s="254">
        <f t="shared" si="6"/>
        <v>86</v>
      </c>
      <c r="AB35" s="28"/>
    </row>
    <row r="36" spans="2:28" x14ac:dyDescent="0.25">
      <c r="B36" s="2">
        <v>11</v>
      </c>
      <c r="C36" s="112">
        <f>'I1'!B25</f>
        <v>951323243011</v>
      </c>
      <c r="D36" s="251" t="str">
        <f>'I1'!C25</f>
        <v>BALA SRI RAM G</v>
      </c>
      <c r="E36" s="252"/>
      <c r="F36" s="253">
        <f>'I1'!D25</f>
        <v>0</v>
      </c>
      <c r="G36" s="253">
        <f>'I1'!E25</f>
        <v>1</v>
      </c>
      <c r="H36" s="253">
        <f>'I1'!F25</f>
        <v>2</v>
      </c>
      <c r="I36" s="253">
        <f>'I1'!G25</f>
        <v>0</v>
      </c>
      <c r="J36" s="253">
        <f>'I1'!H25</f>
        <v>0</v>
      </c>
      <c r="K36" s="254">
        <f>'I1'!I25+'I1'!J25</f>
        <v>0</v>
      </c>
      <c r="L36" s="254">
        <f>'I1'!K25+'I1'!L25</f>
        <v>0</v>
      </c>
      <c r="M36" s="254">
        <f>'I1'!M25+'I1'!N25</f>
        <v>0</v>
      </c>
      <c r="N36" s="254">
        <f>'I1'!O25+'I1'!P25</f>
        <v>0</v>
      </c>
      <c r="O36" s="254">
        <f>'I1'!Q25+'I1'!R25</f>
        <v>0</v>
      </c>
      <c r="P36" s="254">
        <f>SUMIF('BL-1'!$C$20:$L$20,"*",'IAT-1'!F36:O36)</f>
        <v>1</v>
      </c>
      <c r="Q36" s="254">
        <f t="shared" si="0"/>
        <v>4.3</v>
      </c>
      <c r="R36" s="254">
        <f>SUMIF('BL-1'!$C$21:$L$21,"*",'IAT-1'!F36:O36)</f>
        <v>2</v>
      </c>
      <c r="S36" s="254">
        <f t="shared" si="1"/>
        <v>11.1</v>
      </c>
      <c r="T36" s="254">
        <f>SUMIF('BL-1'!$C$22:$L$22,"*",'IAT-1'!F36:O36)</f>
        <v>0</v>
      </c>
      <c r="U36" s="254">
        <f t="shared" si="2"/>
        <v>0</v>
      </c>
      <c r="V36" s="254">
        <f>SUMIF('BL-1'!$C$23:$L$23,"*",'IAT-1'!F36:O36)</f>
        <v>0</v>
      </c>
      <c r="W36" s="254">
        <f t="shared" si="3"/>
        <v>0</v>
      </c>
      <c r="X36" s="254">
        <f>SUMIF('BL-1'!$C$24:$L$24,"*",'IAT-1'!F36:O36)</f>
        <v>0</v>
      </c>
      <c r="Y36" s="254">
        <f t="shared" si="4"/>
        <v>0</v>
      </c>
      <c r="Z36" s="254">
        <f t="shared" si="5"/>
        <v>3</v>
      </c>
      <c r="AA36" s="254">
        <f t="shared" si="6"/>
        <v>6</v>
      </c>
      <c r="AB36" s="28"/>
    </row>
    <row r="37" spans="2:28" x14ac:dyDescent="0.25">
      <c r="B37" s="2">
        <v>12</v>
      </c>
      <c r="C37" s="112">
        <f>'I1'!B26</f>
        <v>951323243012</v>
      </c>
      <c r="D37" s="251" t="str">
        <f>'I1'!C26</f>
        <v>BENJAMINE FRANKLIN C</v>
      </c>
      <c r="E37" s="252"/>
      <c r="F37" s="253">
        <f>'I1'!D26</f>
        <v>2</v>
      </c>
      <c r="G37" s="253">
        <f>'I1'!E26</f>
        <v>2</v>
      </c>
      <c r="H37" s="253">
        <f>'I1'!F26</f>
        <v>2</v>
      </c>
      <c r="I37" s="253">
        <f>'I1'!G26</f>
        <v>2</v>
      </c>
      <c r="J37" s="253">
        <f>'I1'!H26</f>
        <v>2</v>
      </c>
      <c r="K37" s="254">
        <f>'I1'!I26+'I1'!J26</f>
        <v>0</v>
      </c>
      <c r="L37" s="254">
        <f>'I1'!K26+'I1'!L26</f>
        <v>7</v>
      </c>
      <c r="M37" s="254">
        <f>'I1'!M26+'I1'!N26</f>
        <v>0</v>
      </c>
      <c r="N37" s="254">
        <f>'I1'!O26+'I1'!P26</f>
        <v>7</v>
      </c>
      <c r="O37" s="254">
        <f>'I1'!Q26+'I1'!R26</f>
        <v>12</v>
      </c>
      <c r="P37" s="254">
        <f>SUMIF('BL-1'!$C$20:$L$20,"*",'IAT-1'!F37:O37)</f>
        <v>16</v>
      </c>
      <c r="Q37" s="254">
        <f t="shared" si="0"/>
        <v>69.599999999999994</v>
      </c>
      <c r="R37" s="254">
        <f>SUMIF('BL-1'!$C$21:$L$21,"*",'IAT-1'!F37:O37)</f>
        <v>11</v>
      </c>
      <c r="S37" s="254">
        <f t="shared" si="1"/>
        <v>61.1</v>
      </c>
      <c r="T37" s="254">
        <f>SUMIF('BL-1'!$C$22:$L$22,"*",'IAT-1'!F37:O37)</f>
        <v>9</v>
      </c>
      <c r="U37" s="254">
        <f t="shared" si="2"/>
        <v>100</v>
      </c>
      <c r="V37" s="254">
        <f>SUMIF('BL-1'!$C$23:$L$23,"*",'IAT-1'!F37:O37)</f>
        <v>0</v>
      </c>
      <c r="W37" s="254">
        <f t="shared" si="3"/>
        <v>0</v>
      </c>
      <c r="X37" s="254">
        <f>SUMIF('BL-1'!$C$24:$L$24,"*",'IAT-1'!F37:O37)</f>
        <v>0</v>
      </c>
      <c r="Y37" s="254">
        <f t="shared" si="4"/>
        <v>0</v>
      </c>
      <c r="Z37" s="254">
        <f t="shared" si="5"/>
        <v>36</v>
      </c>
      <c r="AA37" s="254">
        <f t="shared" si="6"/>
        <v>72</v>
      </c>
      <c r="AB37" s="28"/>
    </row>
    <row r="38" spans="2:28" x14ac:dyDescent="0.25">
      <c r="B38" s="2">
        <v>13</v>
      </c>
      <c r="C38" s="112">
        <f>'I1'!B27</f>
        <v>951323243013</v>
      </c>
      <c r="D38" s="251" t="str">
        <f>'I1'!C27</f>
        <v>CATHRINE R</v>
      </c>
      <c r="E38" s="252"/>
      <c r="F38" s="253">
        <f>'I1'!D27</f>
        <v>2</v>
      </c>
      <c r="G38" s="253">
        <f>'I1'!E27</f>
        <v>2</v>
      </c>
      <c r="H38" s="253">
        <f>'I1'!F27</f>
        <v>2</v>
      </c>
      <c r="I38" s="253">
        <f>'I1'!G27</f>
        <v>2</v>
      </c>
      <c r="J38" s="253">
        <f>'I1'!H27</f>
        <v>2</v>
      </c>
      <c r="K38" s="254">
        <f>'I1'!I27+'I1'!J27</f>
        <v>7</v>
      </c>
      <c r="L38" s="254">
        <f>'I1'!K27+'I1'!L27</f>
        <v>7</v>
      </c>
      <c r="M38" s="254">
        <f>'I1'!M27+'I1'!N27</f>
        <v>7</v>
      </c>
      <c r="N38" s="254">
        <f>'I1'!O27+'I1'!P27</f>
        <v>6</v>
      </c>
      <c r="O38" s="254">
        <f>'I1'!Q27+'I1'!R27</f>
        <v>11</v>
      </c>
      <c r="P38" s="254">
        <f>SUMIF('BL-1'!$C$20:$L$20,"*",'IAT-1'!F38:O38)</f>
        <v>22</v>
      </c>
      <c r="Q38" s="254">
        <f t="shared" si="0"/>
        <v>95.7</v>
      </c>
      <c r="R38" s="254">
        <f>SUMIF('BL-1'!$C$21:$L$21,"*",'IAT-1'!F38:O38)</f>
        <v>18</v>
      </c>
      <c r="S38" s="254">
        <f t="shared" si="1"/>
        <v>100</v>
      </c>
      <c r="T38" s="254">
        <f>SUMIF('BL-1'!$C$22:$L$22,"*",'IAT-1'!F38:O38)</f>
        <v>8</v>
      </c>
      <c r="U38" s="254">
        <f t="shared" si="2"/>
        <v>88.9</v>
      </c>
      <c r="V38" s="254">
        <f>SUMIF('BL-1'!$C$23:$L$23,"*",'IAT-1'!F38:O38)</f>
        <v>0</v>
      </c>
      <c r="W38" s="254">
        <f t="shared" si="3"/>
        <v>0</v>
      </c>
      <c r="X38" s="254">
        <f>SUMIF('BL-1'!$C$24:$L$24,"*",'IAT-1'!F38:O38)</f>
        <v>0</v>
      </c>
      <c r="Y38" s="254">
        <f t="shared" si="4"/>
        <v>0</v>
      </c>
      <c r="Z38" s="254">
        <f t="shared" si="5"/>
        <v>48</v>
      </c>
      <c r="AA38" s="254">
        <f t="shared" si="6"/>
        <v>96</v>
      </c>
      <c r="AB38" s="28"/>
    </row>
    <row r="39" spans="2:28" x14ac:dyDescent="0.25">
      <c r="B39" s="2">
        <v>14</v>
      </c>
      <c r="C39" s="112">
        <f>'I1'!B28</f>
        <v>951323243014</v>
      </c>
      <c r="D39" s="251" t="str">
        <f>'I1'!C28</f>
        <v>CHENGALESWARI K</v>
      </c>
      <c r="E39" s="252"/>
      <c r="F39" s="253">
        <f>'I1'!D28</f>
        <v>1</v>
      </c>
      <c r="G39" s="253">
        <f>'I1'!E28</f>
        <v>2</v>
      </c>
      <c r="H39" s="253">
        <f>'I1'!F28</f>
        <v>2</v>
      </c>
      <c r="I39" s="253">
        <f>'I1'!G28</f>
        <v>2</v>
      </c>
      <c r="J39" s="253">
        <f>'I1'!H28</f>
        <v>1</v>
      </c>
      <c r="K39" s="254">
        <f>'I1'!I28+'I1'!J28</f>
        <v>0</v>
      </c>
      <c r="L39" s="254">
        <f>'I1'!K28+'I1'!L28</f>
        <v>7</v>
      </c>
      <c r="M39" s="254">
        <f>'I1'!M28+'I1'!N28</f>
        <v>7</v>
      </c>
      <c r="N39" s="254">
        <f>'I1'!O28+'I1'!P28</f>
        <v>7</v>
      </c>
      <c r="O39" s="254">
        <f>'I1'!Q28+'I1'!R28</f>
        <v>12</v>
      </c>
      <c r="P39" s="254">
        <f>SUMIF('BL-1'!$C$20:$L$20,"*",'IAT-1'!F39:O39)</f>
        <v>15</v>
      </c>
      <c r="Q39" s="254">
        <f t="shared" si="0"/>
        <v>65.2</v>
      </c>
      <c r="R39" s="254">
        <f>SUMIF('BL-1'!$C$21:$L$21,"*",'IAT-1'!F39:O39)</f>
        <v>18</v>
      </c>
      <c r="S39" s="254">
        <f t="shared" si="1"/>
        <v>100</v>
      </c>
      <c r="T39" s="254">
        <f>SUMIF('BL-1'!$C$22:$L$22,"*",'IAT-1'!F39:O39)</f>
        <v>8</v>
      </c>
      <c r="U39" s="254">
        <f t="shared" si="2"/>
        <v>88.9</v>
      </c>
      <c r="V39" s="254">
        <f>SUMIF('BL-1'!$C$23:$L$23,"*",'IAT-1'!F39:O39)</f>
        <v>0</v>
      </c>
      <c r="W39" s="254">
        <f t="shared" si="3"/>
        <v>0</v>
      </c>
      <c r="X39" s="254">
        <f>SUMIF('BL-1'!$C$24:$L$24,"*",'IAT-1'!F39:O39)</f>
        <v>0</v>
      </c>
      <c r="Y39" s="254">
        <f t="shared" si="4"/>
        <v>0</v>
      </c>
      <c r="Z39" s="254">
        <f t="shared" si="5"/>
        <v>41</v>
      </c>
      <c r="AA39" s="254">
        <f t="shared" si="6"/>
        <v>82</v>
      </c>
      <c r="AB39" s="28"/>
    </row>
    <row r="40" spans="2:28" x14ac:dyDescent="0.25">
      <c r="B40" s="2">
        <v>15</v>
      </c>
      <c r="C40" s="112">
        <f>'I1'!B29</f>
        <v>951323243015</v>
      </c>
      <c r="D40" s="251" t="str">
        <f>'I1'!C29</f>
        <v>DEVI L</v>
      </c>
      <c r="E40" s="252"/>
      <c r="F40" s="253">
        <f>'I1'!D29</f>
        <v>1</v>
      </c>
      <c r="G40" s="253">
        <f>'I1'!E29</f>
        <v>1</v>
      </c>
      <c r="H40" s="253">
        <f>'I1'!F29</f>
        <v>2</v>
      </c>
      <c r="I40" s="253">
        <f>'I1'!G29</f>
        <v>2</v>
      </c>
      <c r="J40" s="253">
        <f>'I1'!H29</f>
        <v>2</v>
      </c>
      <c r="K40" s="254">
        <f>'I1'!I29+'I1'!J29</f>
        <v>1</v>
      </c>
      <c r="L40" s="254">
        <f>'I1'!K29+'I1'!L29</f>
        <v>6</v>
      </c>
      <c r="M40" s="254">
        <f>'I1'!M29+'I1'!N29</f>
        <v>7</v>
      </c>
      <c r="N40" s="254">
        <f>'I1'!O29+'I1'!P29</f>
        <v>6</v>
      </c>
      <c r="O40" s="254">
        <f>'I1'!Q29+'I1'!R29</f>
        <v>11</v>
      </c>
      <c r="P40" s="254">
        <f>SUMIF('BL-1'!$C$20:$L$20,"*",'IAT-1'!F40:O40)</f>
        <v>14</v>
      </c>
      <c r="Q40" s="254">
        <f t="shared" si="0"/>
        <v>60.9</v>
      </c>
      <c r="R40" s="254">
        <f>SUMIF('BL-1'!$C$21:$L$21,"*",'IAT-1'!F40:O40)</f>
        <v>17</v>
      </c>
      <c r="S40" s="254">
        <f t="shared" si="1"/>
        <v>94.4</v>
      </c>
      <c r="T40" s="254">
        <f>SUMIF('BL-1'!$C$22:$L$22,"*",'IAT-1'!F40:O40)</f>
        <v>8</v>
      </c>
      <c r="U40" s="254">
        <f t="shared" si="2"/>
        <v>88.9</v>
      </c>
      <c r="V40" s="254">
        <f>SUMIF('BL-1'!$C$23:$L$23,"*",'IAT-1'!F40:O40)</f>
        <v>0</v>
      </c>
      <c r="W40" s="254">
        <f t="shared" si="3"/>
        <v>0</v>
      </c>
      <c r="X40" s="254">
        <f>SUMIF('BL-1'!$C$24:$L$24,"*",'IAT-1'!F40:O40)</f>
        <v>0</v>
      </c>
      <c r="Y40" s="254">
        <f t="shared" si="4"/>
        <v>0</v>
      </c>
      <c r="Z40" s="254">
        <f t="shared" si="5"/>
        <v>39</v>
      </c>
      <c r="AA40" s="254">
        <f t="shared" si="6"/>
        <v>78</v>
      </c>
      <c r="AB40" s="28"/>
    </row>
    <row r="41" spans="2:28" x14ac:dyDescent="0.25">
      <c r="B41" s="2">
        <v>16</v>
      </c>
      <c r="C41" s="112">
        <f>'I1'!B30</f>
        <v>951323243016</v>
      </c>
      <c r="D41" s="251" t="str">
        <f>'I1'!C30</f>
        <v>DHARUN S</v>
      </c>
      <c r="E41" s="252"/>
      <c r="F41" s="253">
        <f>'I1'!D30</f>
        <v>1</v>
      </c>
      <c r="G41" s="253">
        <f>'I1'!E30</f>
        <v>1</v>
      </c>
      <c r="H41" s="253">
        <f>'I1'!F30</f>
        <v>2</v>
      </c>
      <c r="I41" s="253">
        <f>'I1'!G30</f>
        <v>1</v>
      </c>
      <c r="J41" s="253">
        <f>'I1'!H30</f>
        <v>1</v>
      </c>
      <c r="K41" s="254">
        <f>'I1'!I30+'I1'!J30</f>
        <v>0</v>
      </c>
      <c r="L41" s="254">
        <f>'I1'!K30+'I1'!L30</f>
        <v>3</v>
      </c>
      <c r="M41" s="254">
        <f>'I1'!M30+'I1'!N30</f>
        <v>0</v>
      </c>
      <c r="N41" s="254">
        <f>'I1'!O30+'I1'!P30</f>
        <v>5</v>
      </c>
      <c r="O41" s="254">
        <f>'I1'!Q30+'I1'!R30</f>
        <v>11</v>
      </c>
      <c r="P41" s="254">
        <f>SUMIF('BL-1'!$C$20:$L$20,"*",'IAT-1'!F41:O41)</f>
        <v>13</v>
      </c>
      <c r="Q41" s="254">
        <f t="shared" si="0"/>
        <v>56.5</v>
      </c>
      <c r="R41" s="254">
        <f>SUMIF('BL-1'!$C$21:$L$21,"*",'IAT-1'!F41:O41)</f>
        <v>6</v>
      </c>
      <c r="S41" s="254">
        <f t="shared" si="1"/>
        <v>33.299999999999997</v>
      </c>
      <c r="T41" s="254">
        <f>SUMIF('BL-1'!$C$22:$L$22,"*",'IAT-1'!F41:O41)</f>
        <v>6</v>
      </c>
      <c r="U41" s="254">
        <f t="shared" si="2"/>
        <v>66.7</v>
      </c>
      <c r="V41" s="254">
        <f>SUMIF('BL-1'!$C$23:$L$23,"*",'IAT-1'!F41:O41)</f>
        <v>0</v>
      </c>
      <c r="W41" s="254">
        <f t="shared" si="3"/>
        <v>0</v>
      </c>
      <c r="X41" s="254">
        <f>SUMIF('BL-1'!$C$24:$L$24,"*",'IAT-1'!F41:O41)</f>
        <v>0</v>
      </c>
      <c r="Y41" s="254">
        <f t="shared" si="4"/>
        <v>0</v>
      </c>
      <c r="Z41" s="254">
        <f t="shared" si="5"/>
        <v>25</v>
      </c>
      <c r="AA41" s="254">
        <f t="shared" si="6"/>
        <v>50</v>
      </c>
      <c r="AB41" s="28"/>
    </row>
    <row r="42" spans="2:28" x14ac:dyDescent="0.25">
      <c r="B42" s="2">
        <v>17</v>
      </c>
      <c r="C42" s="112">
        <f>'I1'!B31</f>
        <v>951323243017</v>
      </c>
      <c r="D42" s="251" t="str">
        <f>'I1'!C31</f>
        <v>EAKANTHALINGAM R</v>
      </c>
      <c r="E42" s="252"/>
      <c r="F42" s="253">
        <f>'I1'!D31</f>
        <v>1</v>
      </c>
      <c r="G42" s="253">
        <f>'I1'!E31</f>
        <v>2</v>
      </c>
      <c r="H42" s="253">
        <f>'I1'!F31</f>
        <v>2</v>
      </c>
      <c r="I42" s="253">
        <f>'I1'!G31</f>
        <v>1</v>
      </c>
      <c r="J42" s="253">
        <f>'I1'!H31</f>
        <v>2</v>
      </c>
      <c r="K42" s="254">
        <f>'I1'!I31+'I1'!J31</f>
        <v>1</v>
      </c>
      <c r="L42" s="254">
        <f>'I1'!K31+'I1'!L31</f>
        <v>4</v>
      </c>
      <c r="M42" s="254">
        <f>'I1'!M31+'I1'!N31</f>
        <v>6</v>
      </c>
      <c r="N42" s="254">
        <f>'I1'!O31+'I1'!P31</f>
        <v>6</v>
      </c>
      <c r="O42" s="254">
        <f>'I1'!Q31+'I1'!R31</f>
        <v>7</v>
      </c>
      <c r="P42" s="254">
        <f>SUMIF('BL-1'!$C$20:$L$20,"*",'IAT-1'!F42:O42)</f>
        <v>11</v>
      </c>
      <c r="Q42" s="254">
        <f t="shared" si="0"/>
        <v>47.8</v>
      </c>
      <c r="R42" s="254">
        <f>SUMIF('BL-1'!$C$21:$L$21,"*",'IAT-1'!F42:O42)</f>
        <v>13</v>
      </c>
      <c r="S42" s="254">
        <f t="shared" si="1"/>
        <v>72.2</v>
      </c>
      <c r="T42" s="254">
        <f>SUMIF('BL-1'!$C$22:$L$22,"*",'IAT-1'!F42:O42)</f>
        <v>8</v>
      </c>
      <c r="U42" s="254">
        <f t="shared" si="2"/>
        <v>88.9</v>
      </c>
      <c r="V42" s="254">
        <f>SUMIF('BL-1'!$C$23:$L$23,"*",'IAT-1'!F42:O42)</f>
        <v>0</v>
      </c>
      <c r="W42" s="254">
        <f t="shared" si="3"/>
        <v>0</v>
      </c>
      <c r="X42" s="254">
        <f>SUMIF('BL-1'!$C$24:$L$24,"*",'IAT-1'!F42:O42)</f>
        <v>0</v>
      </c>
      <c r="Y42" s="254">
        <f t="shared" si="4"/>
        <v>0</v>
      </c>
      <c r="Z42" s="254">
        <f t="shared" si="5"/>
        <v>32</v>
      </c>
      <c r="AA42" s="254">
        <f t="shared" si="6"/>
        <v>64</v>
      </c>
      <c r="AB42" s="28"/>
    </row>
    <row r="43" spans="2:28" x14ac:dyDescent="0.25">
      <c r="B43" s="2">
        <v>18</v>
      </c>
      <c r="C43" s="112">
        <f>'I1'!B32</f>
        <v>951323243018</v>
      </c>
      <c r="D43" s="251" t="str">
        <f>'I1'!C32</f>
        <v>EFRIN THANASEKARAN J</v>
      </c>
      <c r="E43" s="252"/>
      <c r="F43" s="253">
        <f>'I1'!D32</f>
        <v>2</v>
      </c>
      <c r="G43" s="253">
        <f>'I1'!E32</f>
        <v>2</v>
      </c>
      <c r="H43" s="253">
        <f>'I1'!F32</f>
        <v>2</v>
      </c>
      <c r="I43" s="253">
        <f>'I1'!G32</f>
        <v>2</v>
      </c>
      <c r="J43" s="253">
        <f>'I1'!H32</f>
        <v>2</v>
      </c>
      <c r="K43" s="254">
        <f>'I1'!I32+'I1'!J32</f>
        <v>7</v>
      </c>
      <c r="L43" s="254">
        <f>'I1'!K32+'I1'!L32</f>
        <v>7</v>
      </c>
      <c r="M43" s="254">
        <f>'I1'!M32+'I1'!N32</f>
        <v>7</v>
      </c>
      <c r="N43" s="254">
        <f>'I1'!O32+'I1'!P32</f>
        <v>7</v>
      </c>
      <c r="O43" s="254">
        <f>'I1'!Q32+'I1'!R32</f>
        <v>6</v>
      </c>
      <c r="P43" s="254">
        <f>SUMIF('BL-1'!$C$20:$L$20,"*",'IAT-1'!F43:O43)</f>
        <v>17</v>
      </c>
      <c r="Q43" s="254">
        <f t="shared" si="0"/>
        <v>73.900000000000006</v>
      </c>
      <c r="R43" s="254">
        <f>SUMIF('BL-1'!$C$21:$L$21,"*",'IAT-1'!F43:O43)</f>
        <v>18</v>
      </c>
      <c r="S43" s="254">
        <f t="shared" si="1"/>
        <v>100</v>
      </c>
      <c r="T43" s="254">
        <f>SUMIF('BL-1'!$C$22:$L$22,"*",'IAT-1'!F43:O43)</f>
        <v>9</v>
      </c>
      <c r="U43" s="254">
        <f t="shared" si="2"/>
        <v>100</v>
      </c>
      <c r="V43" s="254">
        <f>SUMIF('BL-1'!$C$23:$L$23,"*",'IAT-1'!F43:O43)</f>
        <v>0</v>
      </c>
      <c r="W43" s="254">
        <f t="shared" si="3"/>
        <v>0</v>
      </c>
      <c r="X43" s="254">
        <f>SUMIF('BL-1'!$C$24:$L$24,"*",'IAT-1'!F43:O43)</f>
        <v>0</v>
      </c>
      <c r="Y43" s="254">
        <f t="shared" si="4"/>
        <v>0</v>
      </c>
      <c r="Z43" s="254">
        <f t="shared" si="5"/>
        <v>44</v>
      </c>
      <c r="AA43" s="254">
        <f t="shared" si="6"/>
        <v>88</v>
      </c>
      <c r="AB43" s="28"/>
    </row>
    <row r="44" spans="2:28" x14ac:dyDescent="0.25">
      <c r="B44" s="2">
        <v>19</v>
      </c>
      <c r="C44" s="112">
        <f>'I1'!B33</f>
        <v>951323243019</v>
      </c>
      <c r="D44" s="251" t="str">
        <f>'I1'!C33</f>
        <v>GAYATHRI M</v>
      </c>
      <c r="E44" s="252"/>
      <c r="F44" s="253">
        <f>'I1'!D33</f>
        <v>2</v>
      </c>
      <c r="G44" s="253">
        <f>'I1'!E33</f>
        <v>2</v>
      </c>
      <c r="H44" s="253">
        <f>'I1'!F33</f>
        <v>2</v>
      </c>
      <c r="I44" s="253">
        <f>'I1'!G33</f>
        <v>2</v>
      </c>
      <c r="J44" s="253">
        <f>'I1'!H33</f>
        <v>1</v>
      </c>
      <c r="K44" s="254">
        <f>'I1'!I33+'I1'!J33</f>
        <v>5</v>
      </c>
      <c r="L44" s="254">
        <f>'I1'!K33+'I1'!L33</f>
        <v>7</v>
      </c>
      <c r="M44" s="254">
        <f>'I1'!M33+'I1'!N33</f>
        <v>7</v>
      </c>
      <c r="N44" s="254">
        <f>'I1'!O33+'I1'!P33</f>
        <v>5</v>
      </c>
      <c r="O44" s="254">
        <f>'I1'!Q33+'I1'!R33</f>
        <v>10</v>
      </c>
      <c r="P44" s="254">
        <f>SUMIF('BL-1'!$C$20:$L$20,"*",'IAT-1'!F44:O44)</f>
        <v>19</v>
      </c>
      <c r="Q44" s="254">
        <f t="shared" si="0"/>
        <v>82.6</v>
      </c>
      <c r="R44" s="254">
        <f>SUMIF('BL-1'!$C$21:$L$21,"*",'IAT-1'!F44:O44)</f>
        <v>18</v>
      </c>
      <c r="S44" s="254">
        <f t="shared" si="1"/>
        <v>100</v>
      </c>
      <c r="T44" s="254">
        <f>SUMIF('BL-1'!$C$22:$L$22,"*",'IAT-1'!F44:O44)</f>
        <v>6</v>
      </c>
      <c r="U44" s="254">
        <f t="shared" si="2"/>
        <v>66.7</v>
      </c>
      <c r="V44" s="254">
        <f>SUMIF('BL-1'!$C$23:$L$23,"*",'IAT-1'!F44:O44)</f>
        <v>0</v>
      </c>
      <c r="W44" s="254">
        <f t="shared" si="3"/>
        <v>0</v>
      </c>
      <c r="X44" s="254">
        <f>SUMIF('BL-1'!$C$24:$L$24,"*",'IAT-1'!F44:O44)</f>
        <v>0</v>
      </c>
      <c r="Y44" s="254">
        <f t="shared" si="4"/>
        <v>0</v>
      </c>
      <c r="Z44" s="254">
        <f t="shared" si="5"/>
        <v>43</v>
      </c>
      <c r="AA44" s="254">
        <f t="shared" si="6"/>
        <v>86</v>
      </c>
      <c r="AB44" s="28"/>
    </row>
    <row r="45" spans="2:28" x14ac:dyDescent="0.25">
      <c r="B45" s="2">
        <v>20</v>
      </c>
      <c r="C45" s="112">
        <f>'I1'!B34</f>
        <v>951323243020</v>
      </c>
      <c r="D45" s="251" t="str">
        <f>'I1'!C34</f>
        <v>GOKILA G</v>
      </c>
      <c r="E45" s="252"/>
      <c r="F45" s="253">
        <f>'I1'!D34</f>
        <v>2</v>
      </c>
      <c r="G45" s="253">
        <f>'I1'!E34</f>
        <v>2</v>
      </c>
      <c r="H45" s="253">
        <f>'I1'!F34</f>
        <v>2</v>
      </c>
      <c r="I45" s="253">
        <f>'I1'!G34</f>
        <v>2</v>
      </c>
      <c r="J45" s="253">
        <f>'I1'!H34</f>
        <v>2</v>
      </c>
      <c r="K45" s="254">
        <f>'I1'!I34+'I1'!J34</f>
        <v>7</v>
      </c>
      <c r="L45" s="254">
        <f>'I1'!K34+'I1'!L34</f>
        <v>5</v>
      </c>
      <c r="M45" s="254">
        <f>'I1'!M34+'I1'!N34</f>
        <v>7</v>
      </c>
      <c r="N45" s="254">
        <f>'I1'!O34+'I1'!P34</f>
        <v>7</v>
      </c>
      <c r="O45" s="254">
        <f>'I1'!Q34+'I1'!R34</f>
        <v>12</v>
      </c>
      <c r="P45" s="254">
        <f>SUMIF('BL-1'!$C$20:$L$20,"*",'IAT-1'!F45:O45)</f>
        <v>23</v>
      </c>
      <c r="Q45" s="254">
        <f t="shared" si="0"/>
        <v>100</v>
      </c>
      <c r="R45" s="254">
        <f>SUMIF('BL-1'!$C$21:$L$21,"*",'IAT-1'!F45:O45)</f>
        <v>16</v>
      </c>
      <c r="S45" s="254">
        <f t="shared" si="1"/>
        <v>88.9</v>
      </c>
      <c r="T45" s="254">
        <f>SUMIF('BL-1'!$C$22:$L$22,"*",'IAT-1'!F45:O45)</f>
        <v>9</v>
      </c>
      <c r="U45" s="254">
        <f t="shared" si="2"/>
        <v>100</v>
      </c>
      <c r="V45" s="254">
        <f>SUMIF('BL-1'!$C$23:$L$23,"*",'IAT-1'!F45:O45)</f>
        <v>0</v>
      </c>
      <c r="W45" s="254">
        <f t="shared" si="3"/>
        <v>0</v>
      </c>
      <c r="X45" s="254">
        <f>SUMIF('BL-1'!$C$24:$L$24,"*",'IAT-1'!F45:O45)</f>
        <v>0</v>
      </c>
      <c r="Y45" s="254">
        <f t="shared" si="4"/>
        <v>0</v>
      </c>
      <c r="Z45" s="254">
        <f t="shared" si="5"/>
        <v>48</v>
      </c>
      <c r="AA45" s="254">
        <f t="shared" si="6"/>
        <v>96</v>
      </c>
      <c r="AB45" s="28"/>
    </row>
    <row r="46" spans="2:28" x14ac:dyDescent="0.25">
      <c r="B46" s="2">
        <v>21</v>
      </c>
      <c r="C46" s="112">
        <f>'I1'!B35</f>
        <v>951323243021</v>
      </c>
      <c r="D46" s="251" t="str">
        <f>'I1'!C35</f>
        <v>GOWRI KRISHNAVENI N</v>
      </c>
      <c r="E46" s="252"/>
      <c r="F46" s="253">
        <f>'I1'!D35</f>
        <v>2</v>
      </c>
      <c r="G46" s="253">
        <f>'I1'!E35</f>
        <v>2</v>
      </c>
      <c r="H46" s="253">
        <f>'I1'!F35</f>
        <v>2</v>
      </c>
      <c r="I46" s="253">
        <f>'I1'!G35</f>
        <v>2</v>
      </c>
      <c r="J46" s="253">
        <f>'I1'!H35</f>
        <v>2</v>
      </c>
      <c r="K46" s="254">
        <f>'I1'!I35+'I1'!J35</f>
        <v>7</v>
      </c>
      <c r="L46" s="254">
        <f>'I1'!K35+'I1'!L35</f>
        <v>7</v>
      </c>
      <c r="M46" s="254">
        <f>'I1'!M35+'I1'!N35</f>
        <v>7</v>
      </c>
      <c r="N46" s="254">
        <f>'I1'!O35+'I1'!P35</f>
        <v>7</v>
      </c>
      <c r="O46" s="254">
        <f>'I1'!Q35+'I1'!R35</f>
        <v>12</v>
      </c>
      <c r="P46" s="254">
        <f>SUMIF('BL-1'!$C$20:$L$20,"*",'IAT-1'!F46:O46)</f>
        <v>23</v>
      </c>
      <c r="Q46" s="254">
        <f t="shared" si="0"/>
        <v>100</v>
      </c>
      <c r="R46" s="254">
        <f>SUMIF('BL-1'!$C$21:$L$21,"*",'IAT-1'!F46:O46)</f>
        <v>18</v>
      </c>
      <c r="S46" s="254">
        <f t="shared" si="1"/>
        <v>100</v>
      </c>
      <c r="T46" s="254">
        <f>SUMIF('BL-1'!$C$22:$L$22,"*",'IAT-1'!F46:O46)</f>
        <v>9</v>
      </c>
      <c r="U46" s="254">
        <f t="shared" si="2"/>
        <v>100</v>
      </c>
      <c r="V46" s="254">
        <f>SUMIF('BL-1'!$C$23:$L$23,"*",'IAT-1'!F46:O46)</f>
        <v>0</v>
      </c>
      <c r="W46" s="254">
        <f t="shared" si="3"/>
        <v>0</v>
      </c>
      <c r="X46" s="254">
        <f>SUMIF('BL-1'!$C$24:$L$24,"*",'IAT-1'!F46:O46)</f>
        <v>0</v>
      </c>
      <c r="Y46" s="254">
        <f t="shared" si="4"/>
        <v>0</v>
      </c>
      <c r="Z46" s="254">
        <f t="shared" si="5"/>
        <v>50</v>
      </c>
      <c r="AA46" s="254">
        <f t="shared" si="6"/>
        <v>100</v>
      </c>
      <c r="AB46" s="28"/>
    </row>
    <row r="47" spans="2:28" x14ac:dyDescent="0.25">
      <c r="B47" s="2">
        <v>22</v>
      </c>
      <c r="C47" s="112">
        <f>'I1'!B36</f>
        <v>951323243022</v>
      </c>
      <c r="D47" s="251" t="str">
        <f>'I1'!C36</f>
        <v>HEART BRIGHT MERCY S</v>
      </c>
      <c r="E47" s="252"/>
      <c r="F47" s="253">
        <f>'I1'!D36</f>
        <v>2</v>
      </c>
      <c r="G47" s="253">
        <f>'I1'!E36</f>
        <v>2</v>
      </c>
      <c r="H47" s="253">
        <f>'I1'!F36</f>
        <v>2</v>
      </c>
      <c r="I47" s="253">
        <f>'I1'!G36</f>
        <v>2</v>
      </c>
      <c r="J47" s="253">
        <f>'I1'!H36</f>
        <v>1</v>
      </c>
      <c r="K47" s="254">
        <f>'I1'!I36+'I1'!J36</f>
        <v>5</v>
      </c>
      <c r="L47" s="254">
        <f>'I1'!K36+'I1'!L36</f>
        <v>1</v>
      </c>
      <c r="M47" s="254">
        <f>'I1'!M36+'I1'!N36</f>
        <v>6</v>
      </c>
      <c r="N47" s="254">
        <f>'I1'!O36+'I1'!P36</f>
        <v>7</v>
      </c>
      <c r="O47" s="254">
        <f>'I1'!Q36+'I1'!R36</f>
        <v>12</v>
      </c>
      <c r="P47" s="254">
        <f>SUMIF('BL-1'!$C$20:$L$20,"*",'IAT-1'!F47:O47)</f>
        <v>21</v>
      </c>
      <c r="Q47" s="254">
        <f t="shared" si="0"/>
        <v>91.3</v>
      </c>
      <c r="R47" s="254">
        <f>SUMIF('BL-1'!$C$21:$L$21,"*",'IAT-1'!F47:O47)</f>
        <v>11</v>
      </c>
      <c r="S47" s="254">
        <f t="shared" si="1"/>
        <v>61.1</v>
      </c>
      <c r="T47" s="254">
        <f>SUMIF('BL-1'!$C$22:$L$22,"*",'IAT-1'!F47:O47)</f>
        <v>8</v>
      </c>
      <c r="U47" s="254">
        <f t="shared" si="2"/>
        <v>88.9</v>
      </c>
      <c r="V47" s="254">
        <f>SUMIF('BL-1'!$C$23:$L$23,"*",'IAT-1'!F47:O47)</f>
        <v>0</v>
      </c>
      <c r="W47" s="254">
        <f t="shared" si="3"/>
        <v>0</v>
      </c>
      <c r="X47" s="254">
        <f>SUMIF('BL-1'!$C$24:$L$24,"*",'IAT-1'!F47:O47)</f>
        <v>0</v>
      </c>
      <c r="Y47" s="254">
        <f t="shared" si="4"/>
        <v>0</v>
      </c>
      <c r="Z47" s="254">
        <f t="shared" si="5"/>
        <v>40</v>
      </c>
      <c r="AA47" s="254">
        <f t="shared" si="6"/>
        <v>80</v>
      </c>
      <c r="AB47" s="28"/>
    </row>
    <row r="48" spans="2:28" x14ac:dyDescent="0.25">
      <c r="B48" s="2">
        <v>23</v>
      </c>
      <c r="C48" s="112">
        <f>'I1'!B37</f>
        <v>951323243023</v>
      </c>
      <c r="D48" s="251" t="str">
        <f>'I1'!C37</f>
        <v>INFANT EBINESH R</v>
      </c>
      <c r="E48" s="252"/>
      <c r="F48" s="253">
        <f>'I1'!D37</f>
        <v>0</v>
      </c>
      <c r="G48" s="253">
        <f>'I1'!E37</f>
        <v>0</v>
      </c>
      <c r="H48" s="253">
        <f>'I1'!F37</f>
        <v>0</v>
      </c>
      <c r="I48" s="253">
        <f>'I1'!G37</f>
        <v>0</v>
      </c>
      <c r="J48" s="253">
        <f>'I1'!H37</f>
        <v>0</v>
      </c>
      <c r="K48" s="254">
        <f>'I1'!I37+'I1'!J37</f>
        <v>0</v>
      </c>
      <c r="L48" s="254">
        <f>'I1'!K37+'I1'!L37</f>
        <v>0</v>
      </c>
      <c r="M48" s="254">
        <f>'I1'!M37+'I1'!N37</f>
        <v>0</v>
      </c>
      <c r="N48" s="254">
        <f>'I1'!O37+'I1'!P37</f>
        <v>0</v>
      </c>
      <c r="O48" s="254">
        <f>'I1'!Q37+'I1'!R37</f>
        <v>0</v>
      </c>
      <c r="P48" s="254">
        <f>SUMIF('BL-1'!$C$20:$L$20,"*",'IAT-1'!F48:O48)</f>
        <v>0</v>
      </c>
      <c r="Q48" s="254">
        <f t="shared" si="0"/>
        <v>0</v>
      </c>
      <c r="R48" s="254">
        <f>SUMIF('BL-1'!$C$21:$L$21,"*",'IAT-1'!F48:O48)</f>
        <v>0</v>
      </c>
      <c r="S48" s="254">
        <f t="shared" si="1"/>
        <v>0</v>
      </c>
      <c r="T48" s="254">
        <f>SUMIF('BL-1'!$C$22:$L$22,"*",'IAT-1'!F48:O48)</f>
        <v>0</v>
      </c>
      <c r="U48" s="254">
        <f t="shared" si="2"/>
        <v>0</v>
      </c>
      <c r="V48" s="254">
        <f>SUMIF('BL-1'!$C$23:$L$23,"*",'IAT-1'!F48:O48)</f>
        <v>0</v>
      </c>
      <c r="W48" s="254">
        <f t="shared" si="3"/>
        <v>0</v>
      </c>
      <c r="X48" s="254">
        <f>SUMIF('BL-1'!$C$24:$L$24,"*",'IAT-1'!F48:O48)</f>
        <v>0</v>
      </c>
      <c r="Y48" s="254">
        <f t="shared" si="4"/>
        <v>0</v>
      </c>
      <c r="Z48" s="254">
        <f t="shared" si="5"/>
        <v>0</v>
      </c>
      <c r="AA48" s="254">
        <f t="shared" si="6"/>
        <v>0</v>
      </c>
      <c r="AB48" s="28"/>
    </row>
    <row r="49" spans="2:28" x14ac:dyDescent="0.25">
      <c r="B49" s="2">
        <v>24</v>
      </c>
      <c r="C49" s="112">
        <f>'I1'!B38</f>
        <v>951323243024</v>
      </c>
      <c r="D49" s="251" t="str">
        <f>'I1'!C38</f>
        <v>JAI SURYA N</v>
      </c>
      <c r="E49" s="252"/>
      <c r="F49" s="253">
        <f>'I1'!D38</f>
        <v>1</v>
      </c>
      <c r="G49" s="253">
        <f>'I1'!E38</f>
        <v>1</v>
      </c>
      <c r="H49" s="253">
        <f>'I1'!F38</f>
        <v>2</v>
      </c>
      <c r="I49" s="253">
        <f>'I1'!G38</f>
        <v>1</v>
      </c>
      <c r="J49" s="253">
        <f>'I1'!H38</f>
        <v>1</v>
      </c>
      <c r="K49" s="254">
        <f>'I1'!I38+'I1'!J38</f>
        <v>0</v>
      </c>
      <c r="L49" s="254">
        <f>'I1'!K38+'I1'!L38</f>
        <v>1</v>
      </c>
      <c r="M49" s="254">
        <f>'I1'!M38+'I1'!N38</f>
        <v>1</v>
      </c>
      <c r="N49" s="254">
        <f>'I1'!O38+'I1'!P38</f>
        <v>6</v>
      </c>
      <c r="O49" s="254">
        <f>'I1'!Q38+'I1'!R38</f>
        <v>12</v>
      </c>
      <c r="P49" s="254">
        <f>SUMIF('BL-1'!$C$20:$L$20,"*",'IAT-1'!F49:O49)</f>
        <v>14</v>
      </c>
      <c r="Q49" s="254">
        <f t="shared" si="0"/>
        <v>60.9</v>
      </c>
      <c r="R49" s="254">
        <f>SUMIF('BL-1'!$C$21:$L$21,"*",'IAT-1'!F49:O49)</f>
        <v>5</v>
      </c>
      <c r="S49" s="254">
        <f t="shared" si="1"/>
        <v>27.8</v>
      </c>
      <c r="T49" s="254">
        <f>SUMIF('BL-1'!$C$22:$L$22,"*",'IAT-1'!F49:O49)</f>
        <v>7</v>
      </c>
      <c r="U49" s="254">
        <f t="shared" si="2"/>
        <v>77.8</v>
      </c>
      <c r="V49" s="254">
        <f>SUMIF('BL-1'!$C$23:$L$23,"*",'IAT-1'!F49:O49)</f>
        <v>0</v>
      </c>
      <c r="W49" s="254">
        <f t="shared" si="3"/>
        <v>0</v>
      </c>
      <c r="X49" s="254">
        <f>SUMIF('BL-1'!$C$24:$L$24,"*",'IAT-1'!F49:O49)</f>
        <v>0</v>
      </c>
      <c r="Y49" s="254">
        <f t="shared" si="4"/>
        <v>0</v>
      </c>
      <c r="Z49" s="254">
        <f t="shared" si="5"/>
        <v>26</v>
      </c>
      <c r="AA49" s="254">
        <f t="shared" si="6"/>
        <v>52</v>
      </c>
      <c r="AB49" s="28"/>
    </row>
    <row r="50" spans="2:28" x14ac:dyDescent="0.25">
      <c r="B50" s="2">
        <v>25</v>
      </c>
      <c r="C50" s="112">
        <f>'I1'!B39</f>
        <v>951323243025</v>
      </c>
      <c r="D50" s="251" t="str">
        <f>'I1'!C39</f>
        <v>JANI ALICE THIRSA J</v>
      </c>
      <c r="E50" s="252"/>
      <c r="F50" s="253">
        <f>'I1'!D39</f>
        <v>2</v>
      </c>
      <c r="G50" s="253">
        <f>'I1'!E39</f>
        <v>1</v>
      </c>
      <c r="H50" s="253">
        <f>'I1'!F39</f>
        <v>2</v>
      </c>
      <c r="I50" s="253">
        <f>'I1'!G39</f>
        <v>0</v>
      </c>
      <c r="J50" s="253">
        <f>'I1'!H39</f>
        <v>1</v>
      </c>
      <c r="K50" s="254">
        <f>'I1'!I39+'I1'!J39</f>
        <v>3</v>
      </c>
      <c r="L50" s="254">
        <f>'I1'!K39+'I1'!L39</f>
        <v>6</v>
      </c>
      <c r="M50" s="254">
        <f>'I1'!M39+'I1'!N39</f>
        <v>7</v>
      </c>
      <c r="N50" s="254">
        <f>'I1'!O39+'I1'!P39</f>
        <v>7</v>
      </c>
      <c r="O50" s="254">
        <f>'I1'!Q39+'I1'!R39</f>
        <v>12</v>
      </c>
      <c r="P50" s="254">
        <f>SUMIF('BL-1'!$C$20:$L$20,"*",'IAT-1'!F50:O50)</f>
        <v>18</v>
      </c>
      <c r="Q50" s="254">
        <f t="shared" si="0"/>
        <v>78.3</v>
      </c>
      <c r="R50" s="254">
        <f>SUMIF('BL-1'!$C$21:$L$21,"*",'IAT-1'!F50:O50)</f>
        <v>15</v>
      </c>
      <c r="S50" s="254">
        <f t="shared" si="1"/>
        <v>83.3</v>
      </c>
      <c r="T50" s="254">
        <f>SUMIF('BL-1'!$C$22:$L$22,"*",'IAT-1'!F50:O50)</f>
        <v>8</v>
      </c>
      <c r="U50" s="254">
        <f t="shared" si="2"/>
        <v>88.9</v>
      </c>
      <c r="V50" s="254">
        <f>SUMIF('BL-1'!$C$23:$L$23,"*",'IAT-1'!F50:O50)</f>
        <v>0</v>
      </c>
      <c r="W50" s="254">
        <f t="shared" si="3"/>
        <v>0</v>
      </c>
      <c r="X50" s="254">
        <f>SUMIF('BL-1'!$C$24:$L$24,"*",'IAT-1'!F50:O50)</f>
        <v>0</v>
      </c>
      <c r="Y50" s="254">
        <f t="shared" si="4"/>
        <v>0</v>
      </c>
      <c r="Z50" s="254">
        <f t="shared" si="5"/>
        <v>41</v>
      </c>
      <c r="AA50" s="254">
        <f t="shared" si="6"/>
        <v>82</v>
      </c>
      <c r="AB50" s="28"/>
    </row>
    <row r="51" spans="2:28" x14ac:dyDescent="0.25">
      <c r="B51" s="2">
        <v>26</v>
      </c>
      <c r="C51" s="112">
        <f>'I1'!B40</f>
        <v>951323243026</v>
      </c>
      <c r="D51" s="251" t="str">
        <f>'I1'!C40</f>
        <v>JEBA A</v>
      </c>
      <c r="E51" s="252"/>
      <c r="F51" s="253">
        <f>'I1'!D40</f>
        <v>2</v>
      </c>
      <c r="G51" s="253">
        <f>'I1'!E40</f>
        <v>2</v>
      </c>
      <c r="H51" s="253">
        <f>'I1'!F40</f>
        <v>2</v>
      </c>
      <c r="I51" s="253">
        <f>'I1'!G40</f>
        <v>2</v>
      </c>
      <c r="J51" s="253">
        <f>'I1'!H40</f>
        <v>2</v>
      </c>
      <c r="K51" s="254">
        <f>'I1'!I40+'I1'!J40</f>
        <v>6</v>
      </c>
      <c r="L51" s="254">
        <f>'I1'!K40+'I1'!L40</f>
        <v>6</v>
      </c>
      <c r="M51" s="254">
        <f>'I1'!M40+'I1'!N40</f>
        <v>7</v>
      </c>
      <c r="N51" s="254">
        <f>'I1'!O40+'I1'!P40</f>
        <v>7</v>
      </c>
      <c r="O51" s="254">
        <f>'I1'!Q40+'I1'!R40</f>
        <v>12</v>
      </c>
      <c r="P51" s="254">
        <f>SUMIF('BL-1'!$C$20:$L$20,"*",'IAT-1'!F51:O51)</f>
        <v>22</v>
      </c>
      <c r="Q51" s="254">
        <f t="shared" si="0"/>
        <v>95.7</v>
      </c>
      <c r="R51" s="254">
        <f>SUMIF('BL-1'!$C$21:$L$21,"*",'IAT-1'!F51:O51)</f>
        <v>17</v>
      </c>
      <c r="S51" s="254">
        <f t="shared" si="1"/>
        <v>94.4</v>
      </c>
      <c r="T51" s="254">
        <f>SUMIF('BL-1'!$C$22:$L$22,"*",'IAT-1'!F51:O51)</f>
        <v>9</v>
      </c>
      <c r="U51" s="254">
        <f t="shared" si="2"/>
        <v>100</v>
      </c>
      <c r="V51" s="254">
        <f>SUMIF('BL-1'!$C$23:$L$23,"*",'IAT-1'!F51:O51)</f>
        <v>0</v>
      </c>
      <c r="W51" s="254">
        <f t="shared" si="3"/>
        <v>0</v>
      </c>
      <c r="X51" s="254">
        <f>SUMIF('BL-1'!$C$24:$L$24,"*",'IAT-1'!F51:O51)</f>
        <v>0</v>
      </c>
      <c r="Y51" s="254">
        <f t="shared" si="4"/>
        <v>0</v>
      </c>
      <c r="Z51" s="254">
        <f t="shared" si="5"/>
        <v>48</v>
      </c>
      <c r="AA51" s="254">
        <f t="shared" si="6"/>
        <v>96</v>
      </c>
      <c r="AB51" s="28"/>
    </row>
    <row r="52" spans="2:28" x14ac:dyDescent="0.25">
      <c r="B52" s="2">
        <v>27</v>
      </c>
      <c r="C52" s="112">
        <f>'I1'!B41</f>
        <v>951323243027</v>
      </c>
      <c r="D52" s="251" t="str">
        <f>'I1'!C41</f>
        <v>JENIFER E</v>
      </c>
      <c r="E52" s="252"/>
      <c r="F52" s="253">
        <f>'I1'!D41</f>
        <v>0</v>
      </c>
      <c r="G52" s="253">
        <f>'I1'!E41</f>
        <v>0</v>
      </c>
      <c r="H52" s="253">
        <f>'I1'!F41</f>
        <v>0</v>
      </c>
      <c r="I52" s="253">
        <f>'I1'!G41</f>
        <v>0</v>
      </c>
      <c r="J52" s="253">
        <f>'I1'!H41</f>
        <v>0</v>
      </c>
      <c r="K52" s="254">
        <f>'I1'!I41+'I1'!J41</f>
        <v>0</v>
      </c>
      <c r="L52" s="254">
        <f>'I1'!K41+'I1'!L41</f>
        <v>0</v>
      </c>
      <c r="M52" s="254">
        <f>'I1'!M41+'I1'!N41</f>
        <v>0</v>
      </c>
      <c r="N52" s="254">
        <f>'I1'!O41+'I1'!P41</f>
        <v>0</v>
      </c>
      <c r="O52" s="254">
        <f>'I1'!Q41+'I1'!R41</f>
        <v>0</v>
      </c>
      <c r="P52" s="254">
        <f>SUMIF('BL-1'!$C$20:$L$20,"*",'IAT-1'!F52:O52)</f>
        <v>0</v>
      </c>
      <c r="Q52" s="254">
        <f t="shared" si="0"/>
        <v>0</v>
      </c>
      <c r="R52" s="254">
        <f>SUMIF('BL-1'!$C$21:$L$21,"*",'IAT-1'!F52:O52)</f>
        <v>0</v>
      </c>
      <c r="S52" s="254">
        <f t="shared" si="1"/>
        <v>0</v>
      </c>
      <c r="T52" s="254">
        <f>SUMIF('BL-1'!$C$22:$L$22,"*",'IAT-1'!F52:O52)</f>
        <v>0</v>
      </c>
      <c r="U52" s="254">
        <f t="shared" si="2"/>
        <v>0</v>
      </c>
      <c r="V52" s="254">
        <f>SUMIF('BL-1'!$C$23:$L$23,"*",'IAT-1'!F52:O52)</f>
        <v>0</v>
      </c>
      <c r="W52" s="254">
        <f t="shared" si="3"/>
        <v>0</v>
      </c>
      <c r="X52" s="254">
        <f>SUMIF('BL-1'!$C$24:$L$24,"*",'IAT-1'!F52:O52)</f>
        <v>0</v>
      </c>
      <c r="Y52" s="254">
        <f t="shared" si="4"/>
        <v>0</v>
      </c>
      <c r="Z52" s="254">
        <f t="shared" si="5"/>
        <v>0</v>
      </c>
      <c r="AA52" s="254">
        <f t="shared" si="6"/>
        <v>0</v>
      </c>
      <c r="AB52" s="28"/>
    </row>
    <row r="53" spans="2:28" x14ac:dyDescent="0.25">
      <c r="B53" s="2">
        <v>28</v>
      </c>
      <c r="C53" s="112">
        <f>'I1'!B42</f>
        <v>951323243028</v>
      </c>
      <c r="D53" s="251" t="str">
        <f>'I1'!C42</f>
        <v>JENITTA CATHERIN R</v>
      </c>
      <c r="E53" s="255"/>
      <c r="F53" s="253">
        <f>'I1'!D42</f>
        <v>1</v>
      </c>
      <c r="G53" s="253">
        <f>'I1'!E42</f>
        <v>0</v>
      </c>
      <c r="H53" s="253">
        <f>'I1'!F42</f>
        <v>0</v>
      </c>
      <c r="I53" s="253">
        <f>'I1'!G42</f>
        <v>0</v>
      </c>
      <c r="J53" s="253">
        <f>'I1'!H42</f>
        <v>1</v>
      </c>
      <c r="K53" s="254">
        <f>'I1'!I42+'I1'!J42</f>
        <v>5</v>
      </c>
      <c r="L53" s="254">
        <f>'I1'!K42+'I1'!L42</f>
        <v>4</v>
      </c>
      <c r="M53" s="254">
        <f>'I1'!M42+'I1'!N42</f>
        <v>4</v>
      </c>
      <c r="N53" s="254">
        <f>'I1'!O42+'I1'!P42</f>
        <v>7</v>
      </c>
      <c r="O53" s="254">
        <f>'I1'!Q42+'I1'!R42</f>
        <v>12</v>
      </c>
      <c r="P53" s="254">
        <f>SUMIF('BL-1'!$C$20:$L$20,"*",'IAT-1'!F53:O53)</f>
        <v>18</v>
      </c>
      <c r="Q53" s="254">
        <f t="shared" si="0"/>
        <v>78.3</v>
      </c>
      <c r="R53" s="254">
        <f>SUMIF('BL-1'!$C$21:$L$21,"*",'IAT-1'!F53:O53)</f>
        <v>8</v>
      </c>
      <c r="S53" s="254">
        <f t="shared" si="1"/>
        <v>44.4</v>
      </c>
      <c r="T53" s="254">
        <f>SUMIF('BL-1'!$C$22:$L$22,"*",'IAT-1'!F53:O53)</f>
        <v>8</v>
      </c>
      <c r="U53" s="254">
        <f t="shared" si="2"/>
        <v>88.9</v>
      </c>
      <c r="V53" s="254">
        <f>SUMIF('BL-1'!$C$23:$L$23,"*",'IAT-1'!F53:O53)</f>
        <v>0</v>
      </c>
      <c r="W53" s="254">
        <f t="shared" si="3"/>
        <v>0</v>
      </c>
      <c r="X53" s="254">
        <f>SUMIF('BL-1'!$C$24:$L$24,"*",'IAT-1'!F53:O53)</f>
        <v>0</v>
      </c>
      <c r="Y53" s="254">
        <f t="shared" si="4"/>
        <v>0</v>
      </c>
      <c r="Z53" s="254">
        <f t="shared" si="5"/>
        <v>34</v>
      </c>
      <c r="AA53" s="254">
        <f t="shared" si="6"/>
        <v>68</v>
      </c>
      <c r="AB53" s="28"/>
    </row>
    <row r="54" spans="2:28" x14ac:dyDescent="0.25">
      <c r="B54" s="2">
        <v>29</v>
      </c>
      <c r="C54" s="112">
        <f>'I1'!B43</f>
        <v>951323243029</v>
      </c>
      <c r="D54" s="251" t="str">
        <f>'I1'!C43</f>
        <v>JEYACHITHRA K</v>
      </c>
      <c r="E54" s="252"/>
      <c r="F54" s="253">
        <f>'I1'!D43</f>
        <v>2</v>
      </c>
      <c r="G54" s="253">
        <f>'I1'!E43</f>
        <v>2</v>
      </c>
      <c r="H54" s="253">
        <f>'I1'!F43</f>
        <v>2</v>
      </c>
      <c r="I54" s="253">
        <f>'I1'!G43</f>
        <v>2</v>
      </c>
      <c r="J54" s="253">
        <f>'I1'!H43</f>
        <v>2</v>
      </c>
      <c r="K54" s="254">
        <f>'I1'!I43+'I1'!J43</f>
        <v>7</v>
      </c>
      <c r="L54" s="254">
        <f>'I1'!K43+'I1'!L43</f>
        <v>7</v>
      </c>
      <c r="M54" s="254">
        <f>'I1'!M43+'I1'!N43</f>
        <v>7</v>
      </c>
      <c r="N54" s="254">
        <f>'I1'!O43+'I1'!P43</f>
        <v>7</v>
      </c>
      <c r="O54" s="254">
        <f>'I1'!Q43+'I1'!R43</f>
        <v>12</v>
      </c>
      <c r="P54" s="254">
        <f>SUMIF('BL-1'!$C$20:$L$20,"*",'IAT-1'!F54:O54)</f>
        <v>23</v>
      </c>
      <c r="Q54" s="254">
        <f t="shared" si="0"/>
        <v>100</v>
      </c>
      <c r="R54" s="254">
        <f>SUMIF('BL-1'!$C$21:$L$21,"*",'IAT-1'!F54:O54)</f>
        <v>18</v>
      </c>
      <c r="S54" s="254">
        <f t="shared" si="1"/>
        <v>100</v>
      </c>
      <c r="T54" s="254">
        <f>SUMIF('BL-1'!$C$22:$L$22,"*",'IAT-1'!F54:O54)</f>
        <v>9</v>
      </c>
      <c r="U54" s="254">
        <f t="shared" si="2"/>
        <v>100</v>
      </c>
      <c r="V54" s="254">
        <f>SUMIF('BL-1'!$C$23:$L$23,"*",'IAT-1'!F54:O54)</f>
        <v>0</v>
      </c>
      <c r="W54" s="254">
        <f t="shared" si="3"/>
        <v>0</v>
      </c>
      <c r="X54" s="254">
        <f>SUMIF('BL-1'!$C$24:$L$24,"*",'IAT-1'!F54:O54)</f>
        <v>0</v>
      </c>
      <c r="Y54" s="254">
        <f t="shared" si="4"/>
        <v>0</v>
      </c>
      <c r="Z54" s="254">
        <f t="shared" si="5"/>
        <v>50</v>
      </c>
      <c r="AA54" s="254">
        <f t="shared" si="6"/>
        <v>100</v>
      </c>
      <c r="AB54" s="28"/>
    </row>
    <row r="55" spans="2:28" x14ac:dyDescent="0.25">
      <c r="B55" s="2">
        <v>30</v>
      </c>
      <c r="C55" s="112">
        <f>'I1'!B44</f>
        <v>951323243030</v>
      </c>
      <c r="D55" s="251" t="str">
        <f>'I1'!C44</f>
        <v>JOSVA PRINCE R</v>
      </c>
      <c r="E55" s="252"/>
      <c r="F55" s="253">
        <f>'I1'!D44</f>
        <v>0</v>
      </c>
      <c r="G55" s="253">
        <f>'I1'!E44</f>
        <v>0</v>
      </c>
      <c r="H55" s="253">
        <f>'I1'!F44</f>
        <v>0</v>
      </c>
      <c r="I55" s="253">
        <f>'I1'!G44</f>
        <v>0</v>
      </c>
      <c r="J55" s="253">
        <f>'I1'!H44</f>
        <v>0</v>
      </c>
      <c r="K55" s="254">
        <f>'I1'!I44+'I1'!J44</f>
        <v>0</v>
      </c>
      <c r="L55" s="254">
        <f>'I1'!K44+'I1'!L44</f>
        <v>0</v>
      </c>
      <c r="M55" s="254">
        <f>'I1'!M44+'I1'!N44</f>
        <v>0</v>
      </c>
      <c r="N55" s="254">
        <f>'I1'!O44+'I1'!P44</f>
        <v>0</v>
      </c>
      <c r="O55" s="254">
        <f>'I1'!Q44+'I1'!R44</f>
        <v>0</v>
      </c>
      <c r="P55" s="254">
        <f>SUMIF('BL-1'!$C$20:$L$20,"*",'IAT-1'!F55:O55)</f>
        <v>0</v>
      </c>
      <c r="Q55" s="254">
        <f t="shared" si="0"/>
        <v>0</v>
      </c>
      <c r="R55" s="254">
        <f>SUMIF('BL-1'!$C$21:$L$21,"*",'IAT-1'!F55:O55)</f>
        <v>0</v>
      </c>
      <c r="S55" s="254">
        <f t="shared" si="1"/>
        <v>0</v>
      </c>
      <c r="T55" s="254">
        <f>SUMIF('BL-1'!$C$22:$L$22,"*",'IAT-1'!F55:O55)</f>
        <v>0</v>
      </c>
      <c r="U55" s="254">
        <f t="shared" si="2"/>
        <v>0</v>
      </c>
      <c r="V55" s="254">
        <f>SUMIF('BL-1'!$C$23:$L$23,"*",'IAT-1'!F55:O55)</f>
        <v>0</v>
      </c>
      <c r="W55" s="254">
        <f t="shared" si="3"/>
        <v>0</v>
      </c>
      <c r="X55" s="254">
        <f>SUMIF('BL-1'!$C$24:$L$24,"*",'IAT-1'!F55:O55)</f>
        <v>0</v>
      </c>
      <c r="Y55" s="254">
        <f t="shared" si="4"/>
        <v>0</v>
      </c>
      <c r="Z55" s="254">
        <f t="shared" si="5"/>
        <v>0</v>
      </c>
      <c r="AA55" s="254">
        <f t="shared" si="6"/>
        <v>0</v>
      </c>
      <c r="AB55" s="28"/>
    </row>
    <row r="56" spans="2:28" x14ac:dyDescent="0.25">
      <c r="B56" s="2">
        <v>31</v>
      </c>
      <c r="C56" s="112">
        <f>'I1'!B45</f>
        <v>951323243031</v>
      </c>
      <c r="D56" s="251" t="str">
        <f>'I1'!C45</f>
        <v>KALAI SELVAN VINOTH P</v>
      </c>
      <c r="E56" s="252"/>
      <c r="F56" s="253">
        <f>'I1'!D45</f>
        <v>1</v>
      </c>
      <c r="G56" s="253">
        <f>'I1'!E45</f>
        <v>1</v>
      </c>
      <c r="H56" s="253">
        <f>'I1'!F45</f>
        <v>0</v>
      </c>
      <c r="I56" s="253">
        <f>'I1'!G45</f>
        <v>0</v>
      </c>
      <c r="J56" s="253">
        <f>'I1'!H45</f>
        <v>0</v>
      </c>
      <c r="K56" s="254">
        <f>'I1'!I45+'I1'!J45</f>
        <v>4</v>
      </c>
      <c r="L56" s="254">
        <f>'I1'!K45+'I1'!L45</f>
        <v>7</v>
      </c>
      <c r="M56" s="254">
        <f>'I1'!M45+'I1'!N45</f>
        <v>0</v>
      </c>
      <c r="N56" s="254">
        <f>'I1'!O45+'I1'!P45</f>
        <v>0</v>
      </c>
      <c r="O56" s="254">
        <f>'I1'!Q45+'I1'!R45</f>
        <v>12</v>
      </c>
      <c r="P56" s="254">
        <f>SUMIF('BL-1'!$C$20:$L$20,"*",'IAT-1'!F56:O56)</f>
        <v>18</v>
      </c>
      <c r="Q56" s="254">
        <f t="shared" si="0"/>
        <v>78.3</v>
      </c>
      <c r="R56" s="254">
        <f>SUMIF('BL-1'!$C$21:$L$21,"*",'IAT-1'!F56:O56)</f>
        <v>7</v>
      </c>
      <c r="S56" s="254">
        <f t="shared" si="1"/>
        <v>38.9</v>
      </c>
      <c r="T56" s="254">
        <f>SUMIF('BL-1'!$C$22:$L$22,"*",'IAT-1'!F56:O56)</f>
        <v>0</v>
      </c>
      <c r="U56" s="254">
        <f t="shared" si="2"/>
        <v>0</v>
      </c>
      <c r="V56" s="254">
        <f>SUMIF('BL-1'!$C$23:$L$23,"*",'IAT-1'!F56:O56)</f>
        <v>0</v>
      </c>
      <c r="W56" s="254">
        <f t="shared" si="3"/>
        <v>0</v>
      </c>
      <c r="X56" s="254">
        <f>SUMIF('BL-1'!$C$24:$L$24,"*",'IAT-1'!F56:O56)</f>
        <v>0</v>
      </c>
      <c r="Y56" s="254">
        <f t="shared" si="4"/>
        <v>0</v>
      </c>
      <c r="Z56" s="254">
        <f t="shared" si="5"/>
        <v>25</v>
      </c>
      <c r="AA56" s="254">
        <f t="shared" si="6"/>
        <v>50</v>
      </c>
      <c r="AB56" s="28"/>
    </row>
    <row r="57" spans="2:28" x14ac:dyDescent="0.25">
      <c r="B57" s="2">
        <v>32</v>
      </c>
      <c r="C57" s="112">
        <f>'I1'!B46</f>
        <v>951323243032</v>
      </c>
      <c r="D57" s="251" t="str">
        <f>'I1'!C46</f>
        <v>LAKSHMANAN SARATHI S</v>
      </c>
      <c r="E57" s="252"/>
      <c r="F57" s="253">
        <f>'I1'!D46</f>
        <v>2</v>
      </c>
      <c r="G57" s="253">
        <f>'I1'!E46</f>
        <v>2</v>
      </c>
      <c r="H57" s="253">
        <f>'I1'!F46</f>
        <v>2</v>
      </c>
      <c r="I57" s="253">
        <f>'I1'!G46</f>
        <v>1</v>
      </c>
      <c r="J57" s="253">
        <f>'I1'!H46</f>
        <v>0</v>
      </c>
      <c r="K57" s="254">
        <f>'I1'!I46+'I1'!J46</f>
        <v>0</v>
      </c>
      <c r="L57" s="254">
        <f>'I1'!K46+'I1'!L46</f>
        <v>6</v>
      </c>
      <c r="M57" s="254">
        <f>'I1'!M46+'I1'!N46</f>
        <v>6</v>
      </c>
      <c r="N57" s="254">
        <f>'I1'!O46+'I1'!P46</f>
        <v>6</v>
      </c>
      <c r="O57" s="254">
        <f>'I1'!Q46+'I1'!R46</f>
        <v>12</v>
      </c>
      <c r="P57" s="254">
        <f>SUMIF('BL-1'!$C$20:$L$20,"*",'IAT-1'!F57:O57)</f>
        <v>16</v>
      </c>
      <c r="Q57" s="254">
        <f t="shared" si="0"/>
        <v>69.599999999999994</v>
      </c>
      <c r="R57" s="254">
        <f>SUMIF('BL-1'!$C$21:$L$21,"*",'IAT-1'!F57:O57)</f>
        <v>15</v>
      </c>
      <c r="S57" s="254">
        <f t="shared" si="1"/>
        <v>83.3</v>
      </c>
      <c r="T57" s="254">
        <f>SUMIF('BL-1'!$C$22:$L$22,"*",'IAT-1'!F57:O57)</f>
        <v>6</v>
      </c>
      <c r="U57" s="254">
        <f t="shared" si="2"/>
        <v>66.7</v>
      </c>
      <c r="V57" s="254">
        <f>SUMIF('BL-1'!$C$23:$L$23,"*",'IAT-1'!F57:O57)</f>
        <v>0</v>
      </c>
      <c r="W57" s="254">
        <f t="shared" si="3"/>
        <v>0</v>
      </c>
      <c r="X57" s="254">
        <f>SUMIF('BL-1'!$C$24:$L$24,"*",'IAT-1'!F57:O57)</f>
        <v>0</v>
      </c>
      <c r="Y57" s="254">
        <f t="shared" si="4"/>
        <v>0</v>
      </c>
      <c r="Z57" s="254">
        <f t="shared" si="5"/>
        <v>37</v>
      </c>
      <c r="AA57" s="254">
        <f t="shared" si="6"/>
        <v>74</v>
      </c>
      <c r="AB57" s="28"/>
    </row>
    <row r="58" spans="2:28" x14ac:dyDescent="0.25">
      <c r="B58" s="2">
        <v>33</v>
      </c>
      <c r="C58" s="112">
        <f>'I1'!B47</f>
        <v>951323243033</v>
      </c>
      <c r="D58" s="251" t="str">
        <f>'I1'!C47</f>
        <v>LIJO DURAISINGH V S</v>
      </c>
      <c r="E58" s="252"/>
      <c r="F58" s="253">
        <f>'I1'!D47</f>
        <v>2</v>
      </c>
      <c r="G58" s="253">
        <f>'I1'!E47</f>
        <v>2</v>
      </c>
      <c r="H58" s="253">
        <f>'I1'!F47</f>
        <v>2</v>
      </c>
      <c r="I58" s="253">
        <f>'I1'!G47</f>
        <v>1</v>
      </c>
      <c r="J58" s="253">
        <f>'I1'!H47</f>
        <v>2</v>
      </c>
      <c r="K58" s="254">
        <f>'I1'!I47+'I1'!J47</f>
        <v>0</v>
      </c>
      <c r="L58" s="254">
        <f>'I1'!K47+'I1'!L47</f>
        <v>6</v>
      </c>
      <c r="M58" s="254">
        <f>'I1'!M47+'I1'!N47</f>
        <v>0</v>
      </c>
      <c r="N58" s="254">
        <f>'I1'!O47+'I1'!P47</f>
        <v>6</v>
      </c>
      <c r="O58" s="254">
        <f>'I1'!Q47+'I1'!R47</f>
        <v>12</v>
      </c>
      <c r="P58" s="254">
        <f>SUMIF('BL-1'!$C$20:$L$20,"*",'IAT-1'!F58:O58)</f>
        <v>16</v>
      </c>
      <c r="Q58" s="254">
        <f t="shared" si="0"/>
        <v>69.599999999999994</v>
      </c>
      <c r="R58" s="254">
        <f>SUMIF('BL-1'!$C$21:$L$21,"*",'IAT-1'!F58:O58)</f>
        <v>9</v>
      </c>
      <c r="S58" s="254">
        <f t="shared" si="1"/>
        <v>50</v>
      </c>
      <c r="T58" s="254">
        <f>SUMIF('BL-1'!$C$22:$L$22,"*",'IAT-1'!F58:O58)</f>
        <v>8</v>
      </c>
      <c r="U58" s="254">
        <f t="shared" si="2"/>
        <v>88.9</v>
      </c>
      <c r="V58" s="254">
        <f>SUMIF('BL-1'!$C$23:$L$23,"*",'IAT-1'!F58:O58)</f>
        <v>0</v>
      </c>
      <c r="W58" s="254">
        <f t="shared" si="3"/>
        <v>0</v>
      </c>
      <c r="X58" s="254">
        <f>SUMIF('BL-1'!$C$24:$L$24,"*",'IAT-1'!F58:O58)</f>
        <v>0</v>
      </c>
      <c r="Y58" s="254">
        <f t="shared" si="4"/>
        <v>0</v>
      </c>
      <c r="Z58" s="254">
        <f t="shared" si="5"/>
        <v>33</v>
      </c>
      <c r="AA58" s="254">
        <f t="shared" si="6"/>
        <v>66</v>
      </c>
      <c r="AB58" s="28"/>
    </row>
    <row r="59" spans="2:28" x14ac:dyDescent="0.25">
      <c r="B59" s="2">
        <v>34</v>
      </c>
      <c r="C59" s="112">
        <f>'I1'!B48</f>
        <v>951323243034</v>
      </c>
      <c r="D59" s="251" t="str">
        <f>'I1'!C48</f>
        <v>LOVISAL JOY K</v>
      </c>
      <c r="E59" s="252"/>
      <c r="F59" s="253">
        <f>'I1'!D48</f>
        <v>2</v>
      </c>
      <c r="G59" s="253">
        <f>'I1'!E48</f>
        <v>2</v>
      </c>
      <c r="H59" s="253">
        <f>'I1'!F48</f>
        <v>2</v>
      </c>
      <c r="I59" s="253">
        <f>'I1'!G48</f>
        <v>2</v>
      </c>
      <c r="J59" s="253">
        <f>'I1'!H48</f>
        <v>2</v>
      </c>
      <c r="K59" s="254">
        <f>'I1'!I48+'I1'!J48</f>
        <v>5</v>
      </c>
      <c r="L59" s="254">
        <f>'I1'!K48+'I1'!L48</f>
        <v>7</v>
      </c>
      <c r="M59" s="254">
        <f>'I1'!M48+'I1'!N48</f>
        <v>7</v>
      </c>
      <c r="N59" s="254">
        <f>'I1'!O48+'I1'!P48</f>
        <v>6</v>
      </c>
      <c r="O59" s="254">
        <f>'I1'!Q48+'I1'!R48</f>
        <v>12</v>
      </c>
      <c r="P59" s="254">
        <f>SUMIF('BL-1'!$C$20:$L$20,"*",'IAT-1'!F59:O59)</f>
        <v>21</v>
      </c>
      <c r="Q59" s="254">
        <f t="shared" si="0"/>
        <v>91.3</v>
      </c>
      <c r="R59" s="254">
        <f>SUMIF('BL-1'!$C$21:$L$21,"*",'IAT-1'!F59:O59)</f>
        <v>18</v>
      </c>
      <c r="S59" s="254">
        <f t="shared" si="1"/>
        <v>100</v>
      </c>
      <c r="T59" s="254">
        <f>SUMIF('BL-1'!$C$22:$L$22,"*",'IAT-1'!F59:O59)</f>
        <v>8</v>
      </c>
      <c r="U59" s="254">
        <f t="shared" si="2"/>
        <v>88.9</v>
      </c>
      <c r="V59" s="254">
        <f>SUMIF('BL-1'!$C$23:$L$23,"*",'IAT-1'!F59:O59)</f>
        <v>0</v>
      </c>
      <c r="W59" s="254">
        <f t="shared" si="3"/>
        <v>0</v>
      </c>
      <c r="X59" s="254">
        <f>SUMIF('BL-1'!$C$24:$L$24,"*",'IAT-1'!F59:O59)</f>
        <v>0</v>
      </c>
      <c r="Y59" s="254">
        <f t="shared" si="4"/>
        <v>0</v>
      </c>
      <c r="Z59" s="254">
        <f t="shared" si="5"/>
        <v>47</v>
      </c>
      <c r="AA59" s="254">
        <f t="shared" si="6"/>
        <v>94</v>
      </c>
      <c r="AB59" s="28"/>
    </row>
    <row r="60" spans="2:28" x14ac:dyDescent="0.25">
      <c r="B60" s="2">
        <v>35</v>
      </c>
      <c r="C60" s="112">
        <f>'I1'!B49</f>
        <v>951323243035</v>
      </c>
      <c r="D60" s="251" t="str">
        <f>'I1'!C49</f>
        <v>MAGESH GOWRI S</v>
      </c>
      <c r="E60" s="252"/>
      <c r="F60" s="253">
        <f>'I1'!D49</f>
        <v>1</v>
      </c>
      <c r="G60" s="253">
        <f>'I1'!E49</f>
        <v>1</v>
      </c>
      <c r="H60" s="253">
        <f>'I1'!F49</f>
        <v>2</v>
      </c>
      <c r="I60" s="253">
        <f>'I1'!G49</f>
        <v>1</v>
      </c>
      <c r="J60" s="253">
        <f>'I1'!H49</f>
        <v>0</v>
      </c>
      <c r="K60" s="254">
        <f>'I1'!I49+'I1'!J49</f>
        <v>0</v>
      </c>
      <c r="L60" s="254">
        <f>'I1'!K49+'I1'!L49</f>
        <v>7</v>
      </c>
      <c r="M60" s="254">
        <f>'I1'!M49+'I1'!N49</f>
        <v>7</v>
      </c>
      <c r="N60" s="254">
        <f>'I1'!O49+'I1'!P49</f>
        <v>7</v>
      </c>
      <c r="O60" s="254">
        <f>'I1'!Q49+'I1'!R49</f>
        <v>11</v>
      </c>
      <c r="P60" s="254">
        <f>SUMIF('BL-1'!$C$20:$L$20,"*",'IAT-1'!F60:O60)</f>
        <v>13</v>
      </c>
      <c r="Q60" s="254">
        <f t="shared" si="0"/>
        <v>56.5</v>
      </c>
      <c r="R60" s="254">
        <f>SUMIF('BL-1'!$C$21:$L$21,"*",'IAT-1'!F60:O60)</f>
        <v>17</v>
      </c>
      <c r="S60" s="254">
        <f t="shared" si="1"/>
        <v>94.4</v>
      </c>
      <c r="T60" s="254">
        <f>SUMIF('BL-1'!$C$22:$L$22,"*",'IAT-1'!F60:O60)</f>
        <v>7</v>
      </c>
      <c r="U60" s="254">
        <f t="shared" si="2"/>
        <v>77.8</v>
      </c>
      <c r="V60" s="254">
        <f>SUMIF('BL-1'!$C$23:$L$23,"*",'IAT-1'!F60:O60)</f>
        <v>0</v>
      </c>
      <c r="W60" s="254">
        <f t="shared" si="3"/>
        <v>0</v>
      </c>
      <c r="X60" s="254">
        <f>SUMIF('BL-1'!$C$24:$L$24,"*",'IAT-1'!F60:O60)</f>
        <v>0</v>
      </c>
      <c r="Y60" s="254">
        <f t="shared" si="4"/>
        <v>0</v>
      </c>
      <c r="Z60" s="254">
        <f t="shared" si="5"/>
        <v>37</v>
      </c>
      <c r="AA60" s="254">
        <f t="shared" si="6"/>
        <v>74</v>
      </c>
      <c r="AB60" s="28"/>
    </row>
    <row r="61" spans="2:28" x14ac:dyDescent="0.25">
      <c r="B61" s="2">
        <v>36</v>
      </c>
      <c r="C61" s="112">
        <f>'I1'!B50</f>
        <v>951323243036</v>
      </c>
      <c r="D61" s="251" t="str">
        <f>'I1'!C50</f>
        <v>MARIMUTHU S</v>
      </c>
      <c r="E61" s="252"/>
      <c r="F61" s="253">
        <f>'I1'!D50</f>
        <v>1</v>
      </c>
      <c r="G61" s="253">
        <f>'I1'!E50</f>
        <v>2</v>
      </c>
      <c r="H61" s="253">
        <f>'I1'!F50</f>
        <v>1</v>
      </c>
      <c r="I61" s="253">
        <f>'I1'!G50</f>
        <v>1</v>
      </c>
      <c r="J61" s="253">
        <f>'I1'!H50</f>
        <v>1</v>
      </c>
      <c r="K61" s="254">
        <f>'I1'!I50+'I1'!J50</f>
        <v>0</v>
      </c>
      <c r="L61" s="254">
        <f>'I1'!K50+'I1'!L50</f>
        <v>6</v>
      </c>
      <c r="M61" s="254">
        <f>'I1'!M50+'I1'!N50</f>
        <v>0</v>
      </c>
      <c r="N61" s="254">
        <f>'I1'!O50+'I1'!P50</f>
        <v>6</v>
      </c>
      <c r="O61" s="254">
        <f>'I1'!Q50+'I1'!R50</f>
        <v>12</v>
      </c>
      <c r="P61" s="254">
        <f>SUMIF('BL-1'!$C$20:$L$20,"*",'IAT-1'!F61:O61)</f>
        <v>15</v>
      </c>
      <c r="Q61" s="254">
        <f t="shared" si="0"/>
        <v>65.2</v>
      </c>
      <c r="R61" s="254">
        <f>SUMIF('BL-1'!$C$21:$L$21,"*",'IAT-1'!F61:O61)</f>
        <v>8</v>
      </c>
      <c r="S61" s="254">
        <f t="shared" si="1"/>
        <v>44.4</v>
      </c>
      <c r="T61" s="254">
        <f>SUMIF('BL-1'!$C$22:$L$22,"*",'IAT-1'!F61:O61)</f>
        <v>7</v>
      </c>
      <c r="U61" s="254">
        <f t="shared" si="2"/>
        <v>77.8</v>
      </c>
      <c r="V61" s="254">
        <f>SUMIF('BL-1'!$C$23:$L$23,"*",'IAT-1'!F61:O61)</f>
        <v>0</v>
      </c>
      <c r="W61" s="254">
        <f t="shared" si="3"/>
        <v>0</v>
      </c>
      <c r="X61" s="254">
        <f>SUMIF('BL-1'!$C$24:$L$24,"*",'IAT-1'!F61:O61)</f>
        <v>0</v>
      </c>
      <c r="Y61" s="254">
        <f t="shared" si="4"/>
        <v>0</v>
      </c>
      <c r="Z61" s="254">
        <f t="shared" si="5"/>
        <v>30</v>
      </c>
      <c r="AA61" s="254">
        <f t="shared" si="6"/>
        <v>60</v>
      </c>
      <c r="AB61" s="28"/>
    </row>
    <row r="62" spans="2:28" x14ac:dyDescent="0.25">
      <c r="B62" s="2">
        <v>37</v>
      </c>
      <c r="C62" s="112">
        <f>'I1'!B51</f>
        <v>951323243037</v>
      </c>
      <c r="D62" s="251" t="str">
        <f>'I1'!C51</f>
        <v>MARIYA FATHIMA JEYARANI R</v>
      </c>
      <c r="E62" s="252"/>
      <c r="F62" s="253">
        <f>'I1'!D51</f>
        <v>0</v>
      </c>
      <c r="G62" s="253">
        <f>'I1'!E51</f>
        <v>0</v>
      </c>
      <c r="H62" s="253">
        <f>'I1'!F51</f>
        <v>0</v>
      </c>
      <c r="I62" s="253">
        <f>'I1'!G51</f>
        <v>0</v>
      </c>
      <c r="J62" s="253">
        <f>'I1'!H51</f>
        <v>0</v>
      </c>
      <c r="K62" s="254">
        <f>'I1'!I51+'I1'!J51</f>
        <v>0</v>
      </c>
      <c r="L62" s="254">
        <f>'I1'!K51+'I1'!L51</f>
        <v>0</v>
      </c>
      <c r="M62" s="254">
        <f>'I1'!M51+'I1'!N51</f>
        <v>0</v>
      </c>
      <c r="N62" s="254">
        <f>'I1'!O51+'I1'!P51</f>
        <v>0</v>
      </c>
      <c r="O62" s="254">
        <f>'I1'!Q51+'I1'!R51</f>
        <v>0</v>
      </c>
      <c r="P62" s="254">
        <f>SUMIF('BL-1'!$C$20:$L$20,"*",'IAT-1'!F62:O62)</f>
        <v>0</v>
      </c>
      <c r="Q62" s="254">
        <f t="shared" si="0"/>
        <v>0</v>
      </c>
      <c r="R62" s="254">
        <f>SUMIF('BL-1'!$C$21:$L$21,"*",'IAT-1'!F62:O62)</f>
        <v>0</v>
      </c>
      <c r="S62" s="254">
        <f t="shared" si="1"/>
        <v>0</v>
      </c>
      <c r="T62" s="254">
        <f>SUMIF('BL-1'!$C$22:$L$22,"*",'IAT-1'!F62:O62)</f>
        <v>0</v>
      </c>
      <c r="U62" s="254">
        <f t="shared" si="2"/>
        <v>0</v>
      </c>
      <c r="V62" s="254">
        <f>SUMIF('BL-1'!$C$23:$L$23,"*",'IAT-1'!F62:O62)</f>
        <v>0</v>
      </c>
      <c r="W62" s="254">
        <f t="shared" si="3"/>
        <v>0</v>
      </c>
      <c r="X62" s="254">
        <f>SUMIF('BL-1'!$C$24:$L$24,"*",'IAT-1'!F62:O62)</f>
        <v>0</v>
      </c>
      <c r="Y62" s="254">
        <f t="shared" si="4"/>
        <v>0</v>
      </c>
      <c r="Z62" s="254">
        <f t="shared" si="5"/>
        <v>0</v>
      </c>
      <c r="AA62" s="254">
        <f t="shared" si="6"/>
        <v>0</v>
      </c>
      <c r="AB62" s="28"/>
    </row>
    <row r="63" spans="2:28" x14ac:dyDescent="0.25">
      <c r="B63" s="2">
        <v>38</v>
      </c>
      <c r="C63" s="112">
        <f>'I1'!B52</f>
        <v>951323243038</v>
      </c>
      <c r="D63" s="251" t="str">
        <f>'I1'!C52</f>
        <v>MARTIN PRISCA D</v>
      </c>
      <c r="E63" s="252"/>
      <c r="F63" s="253">
        <f>'I1'!D52</f>
        <v>0</v>
      </c>
      <c r="G63" s="253">
        <f>'I1'!E52</f>
        <v>0</v>
      </c>
      <c r="H63" s="253">
        <f>'I1'!F52</f>
        <v>0</v>
      </c>
      <c r="I63" s="253">
        <f>'I1'!G52</f>
        <v>0</v>
      </c>
      <c r="J63" s="253">
        <f>'I1'!H52</f>
        <v>0</v>
      </c>
      <c r="K63" s="254">
        <f>'I1'!I52+'I1'!J52</f>
        <v>0</v>
      </c>
      <c r="L63" s="254">
        <f>'I1'!K52+'I1'!L52</f>
        <v>7</v>
      </c>
      <c r="M63" s="254">
        <f>'I1'!M52+'I1'!N52</f>
        <v>7</v>
      </c>
      <c r="N63" s="254">
        <f>'I1'!O52+'I1'!P52</f>
        <v>7</v>
      </c>
      <c r="O63" s="254">
        <f>'I1'!Q52+'I1'!R52</f>
        <v>12</v>
      </c>
      <c r="P63" s="254">
        <f>SUMIF('BL-1'!$C$20:$L$20,"*",'IAT-1'!F63:O63)</f>
        <v>12</v>
      </c>
      <c r="Q63" s="254">
        <f t="shared" si="0"/>
        <v>52.2</v>
      </c>
      <c r="R63" s="254">
        <f>SUMIF('BL-1'!$C$21:$L$21,"*",'IAT-1'!F63:O63)</f>
        <v>14</v>
      </c>
      <c r="S63" s="254">
        <f t="shared" si="1"/>
        <v>77.8</v>
      </c>
      <c r="T63" s="254">
        <f>SUMIF('BL-1'!$C$22:$L$22,"*",'IAT-1'!F63:O63)</f>
        <v>7</v>
      </c>
      <c r="U63" s="254">
        <f t="shared" si="2"/>
        <v>77.8</v>
      </c>
      <c r="V63" s="254">
        <f>SUMIF('BL-1'!$C$23:$L$23,"*",'IAT-1'!F63:O63)</f>
        <v>0</v>
      </c>
      <c r="W63" s="254">
        <f t="shared" si="3"/>
        <v>0</v>
      </c>
      <c r="X63" s="254">
        <f>SUMIF('BL-1'!$C$24:$L$24,"*",'IAT-1'!F63:O63)</f>
        <v>0</v>
      </c>
      <c r="Y63" s="254">
        <f t="shared" si="4"/>
        <v>0</v>
      </c>
      <c r="Z63" s="254">
        <f t="shared" si="5"/>
        <v>33</v>
      </c>
      <c r="AA63" s="254">
        <f t="shared" si="6"/>
        <v>66</v>
      </c>
      <c r="AB63" s="28"/>
    </row>
    <row r="64" spans="2:28" x14ac:dyDescent="0.25">
      <c r="B64" s="2">
        <v>39</v>
      </c>
      <c r="C64" s="112">
        <f>'I1'!B53</f>
        <v>951323243039</v>
      </c>
      <c r="D64" s="251" t="str">
        <f>'I1'!C53</f>
        <v>MERLIN HEPSIBA K</v>
      </c>
      <c r="E64" s="252"/>
      <c r="F64" s="253">
        <f>'I1'!D53</f>
        <v>2</v>
      </c>
      <c r="G64" s="253">
        <f>'I1'!E53</f>
        <v>2</v>
      </c>
      <c r="H64" s="253">
        <f>'I1'!F53</f>
        <v>2</v>
      </c>
      <c r="I64" s="253">
        <f>'I1'!G53</f>
        <v>2</v>
      </c>
      <c r="J64" s="253">
        <f>'I1'!H53</f>
        <v>1</v>
      </c>
      <c r="K64" s="254">
        <f>'I1'!I53+'I1'!J53</f>
        <v>7</v>
      </c>
      <c r="L64" s="254">
        <f>'I1'!K53+'I1'!L53</f>
        <v>6</v>
      </c>
      <c r="M64" s="254">
        <f>'I1'!M53+'I1'!N53</f>
        <v>6</v>
      </c>
      <c r="N64" s="254">
        <f>'I1'!O53+'I1'!P53</f>
        <v>7</v>
      </c>
      <c r="O64" s="254">
        <f>'I1'!Q53+'I1'!R53</f>
        <v>12</v>
      </c>
      <c r="P64" s="254">
        <f>SUMIF('BL-1'!$C$20:$L$20,"*",'IAT-1'!F64:O64)</f>
        <v>23</v>
      </c>
      <c r="Q64" s="254">
        <f t="shared" si="0"/>
        <v>100</v>
      </c>
      <c r="R64" s="254">
        <f>SUMIF('BL-1'!$C$21:$L$21,"*",'IAT-1'!F64:O64)</f>
        <v>16</v>
      </c>
      <c r="S64" s="254">
        <f t="shared" si="1"/>
        <v>88.9</v>
      </c>
      <c r="T64" s="254">
        <f>SUMIF('BL-1'!$C$22:$L$22,"*",'IAT-1'!F64:O64)</f>
        <v>8</v>
      </c>
      <c r="U64" s="254">
        <f t="shared" si="2"/>
        <v>88.9</v>
      </c>
      <c r="V64" s="254">
        <f>SUMIF('BL-1'!$C$23:$L$23,"*",'IAT-1'!F64:O64)</f>
        <v>0</v>
      </c>
      <c r="W64" s="254">
        <f t="shared" si="3"/>
        <v>0</v>
      </c>
      <c r="X64" s="254">
        <f>SUMIF('BL-1'!$C$24:$L$24,"*",'IAT-1'!F64:O64)</f>
        <v>0</v>
      </c>
      <c r="Y64" s="254">
        <f t="shared" si="4"/>
        <v>0</v>
      </c>
      <c r="Z64" s="254">
        <f t="shared" si="5"/>
        <v>47</v>
      </c>
      <c r="AA64" s="254">
        <f t="shared" si="6"/>
        <v>94</v>
      </c>
      <c r="AB64" s="28"/>
    </row>
    <row r="65" spans="2:28" x14ac:dyDescent="0.25">
      <c r="B65" s="2">
        <v>40</v>
      </c>
      <c r="C65" s="112">
        <f>'I1'!B54</f>
        <v>951323243042</v>
      </c>
      <c r="D65" s="251" t="str">
        <f>'I1'!C54</f>
        <v>MUTHUPRASANNA M</v>
      </c>
      <c r="E65" s="252"/>
      <c r="F65" s="253">
        <f>'I1'!D54</f>
        <v>2</v>
      </c>
      <c r="G65" s="253">
        <f>'I1'!E54</f>
        <v>1</v>
      </c>
      <c r="H65" s="253">
        <f>'I1'!F54</f>
        <v>1</v>
      </c>
      <c r="I65" s="253">
        <f>'I1'!G54</f>
        <v>2</v>
      </c>
      <c r="J65" s="253">
        <f>'I1'!H54</f>
        <v>1</v>
      </c>
      <c r="K65" s="254">
        <f>'I1'!I54+'I1'!J54</f>
        <v>5</v>
      </c>
      <c r="L65" s="254">
        <f>'I1'!K54+'I1'!L54</f>
        <v>4</v>
      </c>
      <c r="M65" s="254">
        <f>'I1'!M54+'I1'!N54</f>
        <v>5</v>
      </c>
      <c r="N65" s="254">
        <f>'I1'!O54+'I1'!P54</f>
        <v>7</v>
      </c>
      <c r="O65" s="254">
        <f>'I1'!Q54+'I1'!R54</f>
        <v>12</v>
      </c>
      <c r="P65" s="254">
        <f>SUMIF('BL-1'!$C$20:$L$20,"*",'IAT-1'!F65:O65)</f>
        <v>20</v>
      </c>
      <c r="Q65" s="254">
        <f t="shared" si="0"/>
        <v>87</v>
      </c>
      <c r="R65" s="254">
        <f>SUMIF('BL-1'!$C$21:$L$21,"*",'IAT-1'!F65:O65)</f>
        <v>12</v>
      </c>
      <c r="S65" s="254">
        <f t="shared" si="1"/>
        <v>66.7</v>
      </c>
      <c r="T65" s="254">
        <f>SUMIF('BL-1'!$C$22:$L$22,"*",'IAT-1'!F65:O65)</f>
        <v>8</v>
      </c>
      <c r="U65" s="254">
        <f t="shared" si="2"/>
        <v>88.9</v>
      </c>
      <c r="V65" s="254">
        <f>SUMIF('BL-1'!$C$23:$L$23,"*",'IAT-1'!F65:O65)</f>
        <v>0</v>
      </c>
      <c r="W65" s="254">
        <f t="shared" si="3"/>
        <v>0</v>
      </c>
      <c r="X65" s="254">
        <f>SUMIF('BL-1'!$C$24:$L$24,"*",'IAT-1'!F65:O65)</f>
        <v>0</v>
      </c>
      <c r="Y65" s="254">
        <f t="shared" si="4"/>
        <v>0</v>
      </c>
      <c r="Z65" s="254">
        <f t="shared" si="5"/>
        <v>40</v>
      </c>
      <c r="AA65" s="254">
        <f t="shared" si="6"/>
        <v>80</v>
      </c>
      <c r="AB65" s="28"/>
    </row>
    <row r="66" spans="2:28" x14ac:dyDescent="0.25">
      <c r="B66" s="2">
        <v>41</v>
      </c>
      <c r="C66" s="112">
        <f>'I1'!B55</f>
        <v>951323243043</v>
      </c>
      <c r="D66" s="251" t="str">
        <f>'I1'!C55</f>
        <v>MUTHURAJ M</v>
      </c>
      <c r="E66" s="252"/>
      <c r="F66" s="253">
        <f>'I1'!D55</f>
        <v>0</v>
      </c>
      <c r="G66" s="253">
        <f>'I1'!E55</f>
        <v>0</v>
      </c>
      <c r="H66" s="253">
        <f>'I1'!F55</f>
        <v>2</v>
      </c>
      <c r="I66" s="253">
        <f>'I1'!G55</f>
        <v>0</v>
      </c>
      <c r="J66" s="253">
        <f>'I1'!H55</f>
        <v>0</v>
      </c>
      <c r="K66" s="254">
        <f>'I1'!I55+'I1'!J55</f>
        <v>0</v>
      </c>
      <c r="L66" s="254">
        <f>'I1'!K55+'I1'!L55</f>
        <v>7</v>
      </c>
      <c r="M66" s="254">
        <f>'I1'!M55+'I1'!N55</f>
        <v>0</v>
      </c>
      <c r="N66" s="254">
        <f>'I1'!O55+'I1'!P55</f>
        <v>6</v>
      </c>
      <c r="O66" s="254">
        <f>'I1'!Q55+'I1'!R55</f>
        <v>12</v>
      </c>
      <c r="P66" s="254">
        <f>SUMIF('BL-1'!$C$20:$L$20,"*",'IAT-1'!F66:O66)</f>
        <v>12</v>
      </c>
      <c r="Q66" s="254">
        <f t="shared" si="0"/>
        <v>52.2</v>
      </c>
      <c r="R66" s="254">
        <f>SUMIF('BL-1'!$C$21:$L$21,"*",'IAT-1'!F66:O66)</f>
        <v>9</v>
      </c>
      <c r="S66" s="254">
        <f t="shared" si="1"/>
        <v>50</v>
      </c>
      <c r="T66" s="254">
        <f>SUMIF('BL-1'!$C$22:$L$22,"*",'IAT-1'!F66:O66)</f>
        <v>6</v>
      </c>
      <c r="U66" s="254">
        <f t="shared" si="2"/>
        <v>66.7</v>
      </c>
      <c r="V66" s="254">
        <f>SUMIF('BL-1'!$C$23:$L$23,"*",'IAT-1'!F66:O66)</f>
        <v>0</v>
      </c>
      <c r="W66" s="254">
        <f t="shared" si="3"/>
        <v>0</v>
      </c>
      <c r="X66" s="254">
        <f>SUMIF('BL-1'!$C$24:$L$24,"*",'IAT-1'!F66:O66)</f>
        <v>0</v>
      </c>
      <c r="Y66" s="254">
        <f t="shared" si="4"/>
        <v>0</v>
      </c>
      <c r="Z66" s="254">
        <f t="shared" si="5"/>
        <v>27</v>
      </c>
      <c r="AA66" s="254">
        <f t="shared" si="6"/>
        <v>54</v>
      </c>
      <c r="AB66" s="28"/>
    </row>
    <row r="67" spans="2:28" x14ac:dyDescent="0.25">
      <c r="B67" s="2">
        <v>42</v>
      </c>
      <c r="C67" s="112">
        <f>'I1'!B56</f>
        <v>951323243045</v>
      </c>
      <c r="D67" s="251" t="str">
        <f>'I1'!C56</f>
        <v>PONKEERTHANA B</v>
      </c>
      <c r="E67" s="252"/>
      <c r="F67" s="253">
        <f>'I1'!D56</f>
        <v>2</v>
      </c>
      <c r="G67" s="253">
        <f>'I1'!E56</f>
        <v>1</v>
      </c>
      <c r="H67" s="253">
        <f>'I1'!F56</f>
        <v>2</v>
      </c>
      <c r="I67" s="253">
        <f>'I1'!G56</f>
        <v>0</v>
      </c>
      <c r="J67" s="253">
        <f>'I1'!H56</f>
        <v>1</v>
      </c>
      <c r="K67" s="254">
        <f>'I1'!I56+'I1'!J56</f>
        <v>5</v>
      </c>
      <c r="L67" s="254">
        <f>'I1'!K56+'I1'!L56</f>
        <v>1</v>
      </c>
      <c r="M67" s="254">
        <f>'I1'!M56+'I1'!N56</f>
        <v>0</v>
      </c>
      <c r="N67" s="254">
        <f>'I1'!O56+'I1'!P56</f>
        <v>7</v>
      </c>
      <c r="O67" s="254">
        <f>'I1'!Q56+'I1'!R56</f>
        <v>11</v>
      </c>
      <c r="P67" s="254">
        <f>SUMIF('BL-1'!$C$20:$L$20,"*",'IAT-1'!F67:O67)</f>
        <v>19</v>
      </c>
      <c r="Q67" s="254">
        <f t="shared" si="0"/>
        <v>82.6</v>
      </c>
      <c r="R67" s="254">
        <f>SUMIF('BL-1'!$C$21:$L$21,"*",'IAT-1'!F67:O67)</f>
        <v>3</v>
      </c>
      <c r="S67" s="254">
        <f t="shared" si="1"/>
        <v>16.7</v>
      </c>
      <c r="T67" s="254">
        <f>SUMIF('BL-1'!$C$22:$L$22,"*",'IAT-1'!F67:O67)</f>
        <v>8</v>
      </c>
      <c r="U67" s="254">
        <f t="shared" si="2"/>
        <v>88.9</v>
      </c>
      <c r="V67" s="254">
        <f>SUMIF('BL-1'!$C$23:$L$23,"*",'IAT-1'!F67:O67)</f>
        <v>0</v>
      </c>
      <c r="W67" s="254">
        <f t="shared" si="3"/>
        <v>0</v>
      </c>
      <c r="X67" s="254">
        <f>SUMIF('BL-1'!$C$24:$L$24,"*",'IAT-1'!F67:O67)</f>
        <v>0</v>
      </c>
      <c r="Y67" s="254">
        <f t="shared" si="4"/>
        <v>0</v>
      </c>
      <c r="Z67" s="254">
        <f t="shared" si="5"/>
        <v>30</v>
      </c>
      <c r="AA67" s="254">
        <f t="shared" si="6"/>
        <v>60</v>
      </c>
      <c r="AB67" s="28"/>
    </row>
    <row r="68" spans="2:28" x14ac:dyDescent="0.25">
      <c r="B68" s="2">
        <v>43</v>
      </c>
      <c r="C68" s="112">
        <f>'I1'!B57</f>
        <v>951323243046</v>
      </c>
      <c r="D68" s="251" t="str">
        <f>'I1'!C57</f>
        <v>POORANATRIFFIE P</v>
      </c>
      <c r="E68" s="252"/>
      <c r="F68" s="253">
        <f>'I1'!D57</f>
        <v>1</v>
      </c>
      <c r="G68" s="253">
        <f>'I1'!E57</f>
        <v>0</v>
      </c>
      <c r="H68" s="253">
        <f>'I1'!F57</f>
        <v>2</v>
      </c>
      <c r="I68" s="253">
        <f>'I1'!G57</f>
        <v>1</v>
      </c>
      <c r="J68" s="253">
        <f>'I1'!H57</f>
        <v>0</v>
      </c>
      <c r="K68" s="254">
        <f>'I1'!I57+'I1'!J57</f>
        <v>7</v>
      </c>
      <c r="L68" s="254">
        <f>'I1'!K57+'I1'!L57</f>
        <v>7</v>
      </c>
      <c r="M68" s="254">
        <f>'I1'!M57+'I1'!N57</f>
        <v>6</v>
      </c>
      <c r="N68" s="254">
        <f>'I1'!O57+'I1'!P57</f>
        <v>7</v>
      </c>
      <c r="O68" s="254">
        <f>'I1'!Q57+'I1'!R57</f>
        <v>12</v>
      </c>
      <c r="P68" s="254">
        <f>SUMIF('BL-1'!$C$20:$L$20,"*",'IAT-1'!F68:O68)</f>
        <v>20</v>
      </c>
      <c r="Q68" s="254">
        <f t="shared" si="0"/>
        <v>87</v>
      </c>
      <c r="R68" s="254">
        <f>SUMIF('BL-1'!$C$21:$L$21,"*",'IAT-1'!F68:O68)</f>
        <v>16</v>
      </c>
      <c r="S68" s="254">
        <f t="shared" si="1"/>
        <v>88.9</v>
      </c>
      <c r="T68" s="254">
        <f>SUMIF('BL-1'!$C$22:$L$22,"*",'IAT-1'!F68:O68)</f>
        <v>7</v>
      </c>
      <c r="U68" s="254">
        <f t="shared" si="2"/>
        <v>77.8</v>
      </c>
      <c r="V68" s="254">
        <f>SUMIF('BL-1'!$C$23:$L$23,"*",'IAT-1'!F68:O68)</f>
        <v>0</v>
      </c>
      <c r="W68" s="254">
        <f t="shared" si="3"/>
        <v>0</v>
      </c>
      <c r="X68" s="254">
        <f>SUMIF('BL-1'!$C$24:$L$24,"*",'IAT-1'!F68:O68)</f>
        <v>0</v>
      </c>
      <c r="Y68" s="254">
        <f t="shared" si="4"/>
        <v>0</v>
      </c>
      <c r="Z68" s="254">
        <f t="shared" si="5"/>
        <v>43</v>
      </c>
      <c r="AA68" s="254">
        <f t="shared" si="6"/>
        <v>86</v>
      </c>
      <c r="AB68" s="28"/>
    </row>
    <row r="69" spans="2:28" x14ac:dyDescent="0.25">
      <c r="B69" s="2">
        <v>44</v>
      </c>
      <c r="C69" s="112">
        <f>'I1'!B58</f>
        <v>951323243047</v>
      </c>
      <c r="D69" s="251" t="str">
        <f>'I1'!C58</f>
        <v>RACKLAND T</v>
      </c>
      <c r="E69" s="252"/>
      <c r="F69" s="253">
        <f>'I1'!D58</f>
        <v>1</v>
      </c>
      <c r="G69" s="253">
        <f>'I1'!E58</f>
        <v>2</v>
      </c>
      <c r="H69" s="253">
        <f>'I1'!F58</f>
        <v>2</v>
      </c>
      <c r="I69" s="253">
        <f>'I1'!G58</f>
        <v>1</v>
      </c>
      <c r="J69" s="253">
        <f>'I1'!H58</f>
        <v>1</v>
      </c>
      <c r="K69" s="254">
        <f>'I1'!I58+'I1'!J58</f>
        <v>4</v>
      </c>
      <c r="L69" s="254">
        <f>'I1'!K58+'I1'!L58</f>
        <v>0</v>
      </c>
      <c r="M69" s="254">
        <f>'I1'!M58+'I1'!N58</f>
        <v>6</v>
      </c>
      <c r="N69" s="254">
        <f>'I1'!O58+'I1'!P58</f>
        <v>6</v>
      </c>
      <c r="O69" s="254">
        <f>'I1'!Q58+'I1'!R58</f>
        <v>12</v>
      </c>
      <c r="P69" s="254">
        <f>SUMIF('BL-1'!$C$20:$L$20,"*",'IAT-1'!F69:O69)</f>
        <v>19</v>
      </c>
      <c r="Q69" s="254">
        <f t="shared" si="0"/>
        <v>82.6</v>
      </c>
      <c r="R69" s="254">
        <f>SUMIF('BL-1'!$C$21:$L$21,"*",'IAT-1'!F69:O69)</f>
        <v>9</v>
      </c>
      <c r="S69" s="254">
        <f t="shared" si="1"/>
        <v>50</v>
      </c>
      <c r="T69" s="254">
        <f>SUMIF('BL-1'!$C$22:$L$22,"*",'IAT-1'!F69:O69)</f>
        <v>7</v>
      </c>
      <c r="U69" s="254">
        <f t="shared" si="2"/>
        <v>77.8</v>
      </c>
      <c r="V69" s="254">
        <f>SUMIF('BL-1'!$C$23:$L$23,"*",'IAT-1'!F69:O69)</f>
        <v>0</v>
      </c>
      <c r="W69" s="254">
        <f t="shared" si="3"/>
        <v>0</v>
      </c>
      <c r="X69" s="254">
        <f>SUMIF('BL-1'!$C$24:$L$24,"*",'IAT-1'!F69:O69)</f>
        <v>0</v>
      </c>
      <c r="Y69" s="254">
        <f t="shared" si="4"/>
        <v>0</v>
      </c>
      <c r="Z69" s="254">
        <f t="shared" si="5"/>
        <v>35</v>
      </c>
      <c r="AA69" s="254">
        <f t="shared" ref="AA69:AA75" si="7">Z69*2</f>
        <v>70</v>
      </c>
      <c r="AB69" s="28"/>
    </row>
    <row r="70" spans="2:28" x14ac:dyDescent="0.25">
      <c r="B70" s="2">
        <v>45</v>
      </c>
      <c r="C70" s="112">
        <f>'I1'!B59</f>
        <v>951323243048</v>
      </c>
      <c r="D70" s="251" t="str">
        <f>'I1'!C59</f>
        <v>RAJA SUNDAR K</v>
      </c>
      <c r="E70" s="252"/>
      <c r="F70" s="253">
        <f>'I1'!D59</f>
        <v>1</v>
      </c>
      <c r="G70" s="253">
        <f>'I1'!E59</f>
        <v>1</v>
      </c>
      <c r="H70" s="253">
        <f>'I1'!F59</f>
        <v>0</v>
      </c>
      <c r="I70" s="253">
        <f>'I1'!G59</f>
        <v>0</v>
      </c>
      <c r="J70" s="253">
        <f>'I1'!H59</f>
        <v>0</v>
      </c>
      <c r="K70" s="254">
        <f>'I1'!I59+'I1'!J59</f>
        <v>0</v>
      </c>
      <c r="L70" s="254">
        <f>'I1'!K59+'I1'!L59</f>
        <v>0</v>
      </c>
      <c r="M70" s="254">
        <f>'I1'!M59+'I1'!N59</f>
        <v>0</v>
      </c>
      <c r="N70" s="254">
        <f>'I1'!O59+'I1'!P59</f>
        <v>0</v>
      </c>
      <c r="O70" s="254">
        <f>'I1'!Q59+'I1'!R59</f>
        <v>5</v>
      </c>
      <c r="P70" s="254">
        <f>SUMIF('BL-1'!$C$20:$L$20,"*",'IAT-1'!F70:O70)</f>
        <v>7</v>
      </c>
      <c r="Q70" s="254">
        <f t="shared" si="0"/>
        <v>30.4</v>
      </c>
      <c r="R70" s="254">
        <f>SUMIF('BL-1'!$C$21:$L$21,"*",'IAT-1'!F70:O70)</f>
        <v>0</v>
      </c>
      <c r="S70" s="254">
        <f t="shared" si="1"/>
        <v>0</v>
      </c>
      <c r="T70" s="254">
        <f>SUMIF('BL-1'!$C$22:$L$22,"*",'IAT-1'!F70:O70)</f>
        <v>0</v>
      </c>
      <c r="U70" s="254">
        <f t="shared" si="2"/>
        <v>0</v>
      </c>
      <c r="V70" s="254">
        <f>SUMIF('BL-1'!$C$23:$L$23,"*",'IAT-1'!F70:O70)</f>
        <v>0</v>
      </c>
      <c r="W70" s="254">
        <f t="shared" si="3"/>
        <v>0</v>
      </c>
      <c r="X70" s="254">
        <f>SUMIF('BL-1'!$C$24:$L$24,"*",'IAT-1'!F70:O70)</f>
        <v>0</v>
      </c>
      <c r="Y70" s="254">
        <f t="shared" si="4"/>
        <v>0</v>
      </c>
      <c r="Z70" s="254">
        <f t="shared" si="5"/>
        <v>7</v>
      </c>
      <c r="AA70" s="254">
        <f t="shared" si="7"/>
        <v>14</v>
      </c>
      <c r="AB70" s="28"/>
    </row>
    <row r="71" spans="2:28" x14ac:dyDescent="0.25">
      <c r="B71" s="2">
        <v>46</v>
      </c>
      <c r="C71" s="112">
        <f>'I1'!B60</f>
        <v>951323243049</v>
      </c>
      <c r="D71" s="251" t="str">
        <f>'I1'!C60</f>
        <v>RAMALINGAM B</v>
      </c>
      <c r="E71" s="252"/>
      <c r="F71" s="253">
        <f>'I1'!D60</f>
        <v>0</v>
      </c>
      <c r="G71" s="253">
        <f>'I1'!E60</f>
        <v>0</v>
      </c>
      <c r="H71" s="253">
        <f>'I1'!F60</f>
        <v>0</v>
      </c>
      <c r="I71" s="253">
        <f>'I1'!G60</f>
        <v>0</v>
      </c>
      <c r="J71" s="253">
        <f>'I1'!H60</f>
        <v>0</v>
      </c>
      <c r="K71" s="254">
        <f>'I1'!I60+'I1'!J60</f>
        <v>0</v>
      </c>
      <c r="L71" s="254">
        <f>'I1'!K60+'I1'!L60</f>
        <v>0</v>
      </c>
      <c r="M71" s="254">
        <f>'I1'!M60+'I1'!N60</f>
        <v>0</v>
      </c>
      <c r="N71" s="254">
        <f>'I1'!O60+'I1'!P60</f>
        <v>0</v>
      </c>
      <c r="O71" s="254">
        <f>'I1'!Q60+'I1'!R60</f>
        <v>0</v>
      </c>
      <c r="P71" s="254">
        <f>SUMIF('BL-1'!$C$20:$L$20,"*",'IAT-1'!F71:O71)</f>
        <v>0</v>
      </c>
      <c r="Q71" s="254">
        <f t="shared" si="0"/>
        <v>0</v>
      </c>
      <c r="R71" s="254">
        <f>SUMIF('BL-1'!$C$21:$L$21,"*",'IAT-1'!F71:O71)</f>
        <v>0</v>
      </c>
      <c r="S71" s="254">
        <f t="shared" si="1"/>
        <v>0</v>
      </c>
      <c r="T71" s="254">
        <f>SUMIF('BL-1'!$C$22:$L$22,"*",'IAT-1'!F71:O71)</f>
        <v>0</v>
      </c>
      <c r="U71" s="254">
        <f t="shared" si="2"/>
        <v>0</v>
      </c>
      <c r="V71" s="254">
        <f>SUMIF('BL-1'!$C$23:$L$23,"*",'IAT-1'!F71:O71)</f>
        <v>0</v>
      </c>
      <c r="W71" s="254">
        <f t="shared" si="3"/>
        <v>0</v>
      </c>
      <c r="X71" s="254">
        <f>SUMIF('BL-1'!$C$24:$L$24,"*",'IAT-1'!F71:O71)</f>
        <v>0</v>
      </c>
      <c r="Y71" s="254">
        <f t="shared" si="4"/>
        <v>0</v>
      </c>
      <c r="Z71" s="254">
        <f t="shared" si="5"/>
        <v>0</v>
      </c>
      <c r="AA71" s="254">
        <f t="shared" si="7"/>
        <v>0</v>
      </c>
      <c r="AB71" s="28"/>
    </row>
    <row r="72" spans="2:28" x14ac:dyDescent="0.25">
      <c r="B72" s="2">
        <v>47</v>
      </c>
      <c r="C72" s="112">
        <f>'I1'!B61</f>
        <v>951323243050</v>
      </c>
      <c r="D72" s="251" t="str">
        <f>'I1'!C61</f>
        <v>SELVAM GRACELIN S</v>
      </c>
      <c r="E72" s="252"/>
      <c r="F72" s="253">
        <f>'I1'!D61</f>
        <v>1</v>
      </c>
      <c r="G72" s="253">
        <f>'I1'!E61</f>
        <v>1</v>
      </c>
      <c r="H72" s="253">
        <f>'I1'!F61</f>
        <v>2</v>
      </c>
      <c r="I72" s="253">
        <f>'I1'!G61</f>
        <v>1</v>
      </c>
      <c r="J72" s="253">
        <f>'I1'!H61</f>
        <v>1</v>
      </c>
      <c r="K72" s="254">
        <f>'I1'!I61+'I1'!J61</f>
        <v>7</v>
      </c>
      <c r="L72" s="254">
        <f>'I1'!K61+'I1'!L61</f>
        <v>7</v>
      </c>
      <c r="M72" s="254">
        <f>'I1'!M61+'I1'!N61</f>
        <v>6</v>
      </c>
      <c r="N72" s="254">
        <f>'I1'!O61+'I1'!P61</f>
        <v>7</v>
      </c>
      <c r="O72" s="254">
        <f>'I1'!Q61+'I1'!R61</f>
        <v>12</v>
      </c>
      <c r="P72" s="254">
        <f>SUMIF('BL-1'!$C$20:$L$20,"*",'IAT-1'!F72:O72)</f>
        <v>21</v>
      </c>
      <c r="Q72" s="254">
        <f t="shared" si="0"/>
        <v>91.3</v>
      </c>
      <c r="R72" s="254">
        <f>SUMIF('BL-1'!$C$21:$L$21,"*",'IAT-1'!F72:O72)</f>
        <v>16</v>
      </c>
      <c r="S72" s="254">
        <f t="shared" si="1"/>
        <v>88.9</v>
      </c>
      <c r="T72" s="254">
        <f>SUMIF('BL-1'!$C$22:$L$22,"*",'IAT-1'!F72:O72)</f>
        <v>8</v>
      </c>
      <c r="U72" s="254">
        <f t="shared" si="2"/>
        <v>88.9</v>
      </c>
      <c r="V72" s="254">
        <f>SUMIF('BL-1'!$C$23:$L$23,"*",'IAT-1'!F72:O72)</f>
        <v>0</v>
      </c>
      <c r="W72" s="254">
        <f t="shared" si="3"/>
        <v>0</v>
      </c>
      <c r="X72" s="254">
        <f>SUMIF('BL-1'!$C$24:$L$24,"*",'IAT-1'!F72:O72)</f>
        <v>0</v>
      </c>
      <c r="Y72" s="254">
        <f t="shared" si="4"/>
        <v>0</v>
      </c>
      <c r="Z72" s="254">
        <f t="shared" si="5"/>
        <v>45</v>
      </c>
      <c r="AA72" s="254">
        <f t="shared" si="7"/>
        <v>90</v>
      </c>
      <c r="AB72" s="28"/>
    </row>
    <row r="73" spans="2:28" x14ac:dyDescent="0.25">
      <c r="B73" s="2">
        <v>48</v>
      </c>
      <c r="C73" s="112">
        <f>'I1'!B62</f>
        <v>951323243051</v>
      </c>
      <c r="D73" s="251" t="str">
        <f>'I1'!C62</f>
        <v>SHANKAR V</v>
      </c>
      <c r="E73" s="252"/>
      <c r="F73" s="253">
        <f>'I1'!D62</f>
        <v>0</v>
      </c>
      <c r="G73" s="253">
        <f>'I1'!E62</f>
        <v>0</v>
      </c>
      <c r="H73" s="253">
        <f>'I1'!F62</f>
        <v>0</v>
      </c>
      <c r="I73" s="253">
        <f>'I1'!G62</f>
        <v>0</v>
      </c>
      <c r="J73" s="253">
        <f>'I1'!H62</f>
        <v>0</v>
      </c>
      <c r="K73" s="254">
        <f>'I1'!I62+'I1'!J62</f>
        <v>0</v>
      </c>
      <c r="L73" s="254">
        <f>'I1'!K62+'I1'!L62</f>
        <v>7</v>
      </c>
      <c r="M73" s="254">
        <f>'I1'!M62+'I1'!N62</f>
        <v>0</v>
      </c>
      <c r="N73" s="254">
        <f>'I1'!O62+'I1'!P62</f>
        <v>4</v>
      </c>
      <c r="O73" s="254">
        <f>'I1'!Q62+'I1'!R62</f>
        <v>0</v>
      </c>
      <c r="P73" s="254">
        <f>SUMIF('BL-1'!$C$20:$L$20,"*",'IAT-1'!F73:O73)</f>
        <v>0</v>
      </c>
      <c r="Q73" s="254">
        <f t="shared" si="0"/>
        <v>0</v>
      </c>
      <c r="R73" s="254">
        <f>SUMIF('BL-1'!$C$21:$L$21,"*",'IAT-1'!F73:O73)</f>
        <v>7</v>
      </c>
      <c r="S73" s="254">
        <f t="shared" si="1"/>
        <v>38.9</v>
      </c>
      <c r="T73" s="254">
        <f>SUMIF('BL-1'!$C$22:$L$22,"*",'IAT-1'!F73:O73)</f>
        <v>4</v>
      </c>
      <c r="U73" s="254">
        <f t="shared" si="2"/>
        <v>44.4</v>
      </c>
      <c r="V73" s="254">
        <f>SUMIF('BL-1'!$C$23:$L$23,"*",'IAT-1'!F73:O73)</f>
        <v>0</v>
      </c>
      <c r="W73" s="254">
        <f t="shared" si="3"/>
        <v>0</v>
      </c>
      <c r="X73" s="254">
        <f>SUMIF('BL-1'!$C$24:$L$24,"*",'IAT-1'!F73:O73)</f>
        <v>0</v>
      </c>
      <c r="Y73" s="254">
        <f t="shared" si="4"/>
        <v>0</v>
      </c>
      <c r="Z73" s="254">
        <f t="shared" si="5"/>
        <v>11</v>
      </c>
      <c r="AA73" s="254">
        <f t="shared" si="7"/>
        <v>22</v>
      </c>
      <c r="AB73" s="28"/>
    </row>
    <row r="74" spans="2:28" x14ac:dyDescent="0.25">
      <c r="B74" s="2">
        <v>49</v>
      </c>
      <c r="C74" s="112">
        <f>'I1'!B63</f>
        <v>951323243052</v>
      </c>
      <c r="D74" s="251" t="str">
        <f>'I1'!C63</f>
        <v>SINDHUJA RAJASUMANA R</v>
      </c>
      <c r="E74" s="252"/>
      <c r="F74" s="253">
        <f>'I1'!D63</f>
        <v>2</v>
      </c>
      <c r="G74" s="253">
        <f>'I1'!E63</f>
        <v>2</v>
      </c>
      <c r="H74" s="253">
        <f>'I1'!F63</f>
        <v>2</v>
      </c>
      <c r="I74" s="253">
        <f>'I1'!G63</f>
        <v>2</v>
      </c>
      <c r="J74" s="253">
        <f>'I1'!H63</f>
        <v>2</v>
      </c>
      <c r="K74" s="254">
        <f>'I1'!I63+'I1'!J63</f>
        <v>7</v>
      </c>
      <c r="L74" s="254">
        <f>'I1'!K63+'I1'!L63</f>
        <v>7</v>
      </c>
      <c r="M74" s="254">
        <f>'I1'!M63+'I1'!N63</f>
        <v>7</v>
      </c>
      <c r="N74" s="254">
        <f>'I1'!O63+'I1'!P63</f>
        <v>7</v>
      </c>
      <c r="O74" s="254">
        <f>'I1'!Q63+'I1'!R63</f>
        <v>12</v>
      </c>
      <c r="P74" s="254">
        <f>SUMIF('BL-1'!$C$20:$L$20,"*",'IAT-1'!F74:O74)</f>
        <v>23</v>
      </c>
      <c r="Q74" s="254">
        <f t="shared" si="0"/>
        <v>100</v>
      </c>
      <c r="R74" s="254">
        <f>SUMIF('BL-1'!$C$21:$L$21,"*",'IAT-1'!F74:O74)</f>
        <v>18</v>
      </c>
      <c r="S74" s="254">
        <f t="shared" si="1"/>
        <v>100</v>
      </c>
      <c r="T74" s="254">
        <f>SUMIF('BL-1'!$C$22:$L$22,"*",'IAT-1'!F74:O74)</f>
        <v>9</v>
      </c>
      <c r="U74" s="254">
        <f t="shared" si="2"/>
        <v>100</v>
      </c>
      <c r="V74" s="254">
        <f>SUMIF('BL-1'!$C$23:$L$23,"*",'IAT-1'!F74:O74)</f>
        <v>0</v>
      </c>
      <c r="W74" s="254">
        <f t="shared" si="3"/>
        <v>0</v>
      </c>
      <c r="X74" s="254">
        <f>SUMIF('BL-1'!$C$24:$L$24,"*",'IAT-1'!F74:O74)</f>
        <v>0</v>
      </c>
      <c r="Y74" s="254">
        <f t="shared" si="4"/>
        <v>0</v>
      </c>
      <c r="Z74" s="254">
        <f t="shared" si="5"/>
        <v>50</v>
      </c>
      <c r="AA74" s="254">
        <f t="shared" si="7"/>
        <v>100</v>
      </c>
      <c r="AB74" s="28"/>
    </row>
    <row r="75" spans="2:28" x14ac:dyDescent="0.25">
      <c r="B75" s="2">
        <v>50</v>
      </c>
      <c r="C75" s="112">
        <f>'I1'!B64</f>
        <v>951323243053</v>
      </c>
      <c r="D75" s="251" t="str">
        <f>'I1'!C64</f>
        <v>SNEGA G</v>
      </c>
      <c r="E75" s="252"/>
      <c r="F75" s="253">
        <f>'I1'!D64</f>
        <v>2</v>
      </c>
      <c r="G75" s="253">
        <f>'I1'!E64</f>
        <v>2</v>
      </c>
      <c r="H75" s="253">
        <f>'I1'!F64</f>
        <v>2</v>
      </c>
      <c r="I75" s="253">
        <f>'I1'!G64</f>
        <v>2</v>
      </c>
      <c r="J75" s="253">
        <f>'I1'!H64</f>
        <v>2</v>
      </c>
      <c r="K75" s="254">
        <f>'I1'!I64+'I1'!J64</f>
        <v>7</v>
      </c>
      <c r="L75" s="254">
        <f>'I1'!K64+'I1'!L64</f>
        <v>7</v>
      </c>
      <c r="M75" s="254">
        <f>'I1'!M64+'I1'!N64</f>
        <v>6</v>
      </c>
      <c r="N75" s="254">
        <f>'I1'!O64+'I1'!P64</f>
        <v>7</v>
      </c>
      <c r="O75" s="254">
        <f>'I1'!Q64+'I1'!R64</f>
        <v>12</v>
      </c>
      <c r="P75" s="254">
        <f>SUMIF('BL-1'!$C$20:$L$20,"*",'IAT-1'!F75:O75)</f>
        <v>23</v>
      </c>
      <c r="Q75" s="254">
        <f t="shared" si="0"/>
        <v>100</v>
      </c>
      <c r="R75" s="254">
        <f>SUMIF('BL-1'!$C$21:$L$21,"*",'IAT-1'!F75:O75)</f>
        <v>17</v>
      </c>
      <c r="S75" s="254">
        <f t="shared" si="1"/>
        <v>94.4</v>
      </c>
      <c r="T75" s="254">
        <f>SUMIF('BL-1'!$C$22:$L$22,"*",'IAT-1'!F75:O75)</f>
        <v>9</v>
      </c>
      <c r="U75" s="254">
        <f t="shared" si="2"/>
        <v>100</v>
      </c>
      <c r="V75" s="254">
        <f>SUMIF('BL-1'!$C$23:$L$23,"*",'IAT-1'!F75:O75)</f>
        <v>0</v>
      </c>
      <c r="W75" s="254">
        <f t="shared" si="3"/>
        <v>0</v>
      </c>
      <c r="X75" s="254">
        <f>SUMIF('BL-1'!$C$24:$L$24,"*",'IAT-1'!F75:O75)</f>
        <v>0</v>
      </c>
      <c r="Y75" s="254">
        <f t="shared" si="4"/>
        <v>0</v>
      </c>
      <c r="Z75" s="254">
        <f t="shared" si="5"/>
        <v>49</v>
      </c>
      <c r="AA75" s="254">
        <f t="shared" si="7"/>
        <v>98</v>
      </c>
      <c r="AB75" s="28"/>
    </row>
    <row r="76" spans="2:28" x14ac:dyDescent="0.25">
      <c r="B76" s="2">
        <v>51</v>
      </c>
      <c r="C76" s="112">
        <f>'I1'!B65</f>
        <v>951323243054</v>
      </c>
      <c r="D76" s="251" t="str">
        <f>'I1'!C65</f>
        <v>SUBRAMANIAN V</v>
      </c>
      <c r="E76" s="252"/>
      <c r="F76" s="253">
        <f>'I1'!D65</f>
        <v>0</v>
      </c>
      <c r="G76" s="253">
        <f>'I1'!E65</f>
        <v>0</v>
      </c>
      <c r="H76" s="253">
        <f>'I1'!F65</f>
        <v>0</v>
      </c>
      <c r="I76" s="253">
        <f>'I1'!G65</f>
        <v>2</v>
      </c>
      <c r="J76" s="253">
        <f>'I1'!H65</f>
        <v>0</v>
      </c>
      <c r="K76" s="254">
        <f>'I1'!I65+'I1'!J65</f>
        <v>0</v>
      </c>
      <c r="L76" s="254">
        <f>'I1'!K65+'I1'!L65</f>
        <v>6</v>
      </c>
      <c r="M76" s="254">
        <f>'I1'!M65+'I1'!N65</f>
        <v>5</v>
      </c>
      <c r="N76" s="254">
        <f>'I1'!O65+'I1'!P65</f>
        <v>0</v>
      </c>
      <c r="O76" s="254">
        <f>'I1'!Q65+'I1'!R65</f>
        <v>12</v>
      </c>
      <c r="P76" s="254">
        <f>SUMIF('BL-1'!$C$20:$L$20,"*",'IAT-1'!F76:O76)</f>
        <v>12</v>
      </c>
      <c r="Q76" s="254">
        <f t="shared" si="0"/>
        <v>52.2</v>
      </c>
      <c r="R76" s="254">
        <f>SUMIF('BL-1'!$C$21:$L$21,"*",'IAT-1'!F76:O76)</f>
        <v>13</v>
      </c>
      <c r="S76" s="254">
        <f t="shared" si="1"/>
        <v>72.2</v>
      </c>
      <c r="T76" s="254">
        <f>SUMIF('BL-1'!$C$22:$L$22,"*",'IAT-1'!F76:O76)</f>
        <v>0</v>
      </c>
      <c r="U76" s="254">
        <f t="shared" si="2"/>
        <v>0</v>
      </c>
      <c r="V76" s="254">
        <f>SUMIF('BL-1'!$C$23:$L$23,"*",'IAT-1'!F76:O76)</f>
        <v>0</v>
      </c>
      <c r="W76" s="254">
        <f t="shared" si="3"/>
        <v>0</v>
      </c>
      <c r="X76" s="254">
        <f>SUMIF('BL-1'!$C$24:$L$24,"*",'IAT-1'!F76:O76)</f>
        <v>0</v>
      </c>
      <c r="Y76" s="254">
        <f t="shared" si="4"/>
        <v>0</v>
      </c>
      <c r="Z76" s="254">
        <f t="shared" si="5"/>
        <v>25</v>
      </c>
      <c r="AA76" s="254">
        <f t="shared" si="6"/>
        <v>50</v>
      </c>
      <c r="AB76" s="28"/>
    </row>
    <row r="77" spans="2:28" x14ac:dyDescent="0.25">
      <c r="B77" s="2">
        <v>52</v>
      </c>
      <c r="C77" s="112">
        <f>'I1'!B66</f>
        <v>951323243055</v>
      </c>
      <c r="D77" s="251" t="str">
        <f>'I1'!C66</f>
        <v>SUGAN RAJ H</v>
      </c>
      <c r="E77" s="252"/>
      <c r="F77" s="253">
        <f>'I1'!D66</f>
        <v>1</v>
      </c>
      <c r="G77" s="253">
        <f>'I1'!E66</f>
        <v>1</v>
      </c>
      <c r="H77" s="253">
        <f>'I1'!F66</f>
        <v>1</v>
      </c>
      <c r="I77" s="253">
        <f>'I1'!G66</f>
        <v>1</v>
      </c>
      <c r="J77" s="253">
        <f>'I1'!H66</f>
        <v>1</v>
      </c>
      <c r="K77" s="254">
        <f>'I1'!I66+'I1'!J66</f>
        <v>1</v>
      </c>
      <c r="L77" s="254">
        <f>'I1'!K66+'I1'!L66</f>
        <v>1</v>
      </c>
      <c r="M77" s="254">
        <f>'I1'!M66+'I1'!N66</f>
        <v>3</v>
      </c>
      <c r="N77" s="254">
        <f>'I1'!O66+'I1'!P66</f>
        <v>1</v>
      </c>
      <c r="O77" s="254">
        <f>'I1'!Q66+'I1'!R66</f>
        <v>7</v>
      </c>
      <c r="P77" s="254">
        <f>SUMIF('BL-1'!$C$20:$L$20,"*",'IAT-1'!F77:O77)</f>
        <v>10</v>
      </c>
      <c r="Q77" s="254">
        <f t="shared" si="0"/>
        <v>43.5</v>
      </c>
      <c r="R77" s="254">
        <f>SUMIF('BL-1'!$C$21:$L$21,"*",'IAT-1'!F77:O77)</f>
        <v>6</v>
      </c>
      <c r="S77" s="254">
        <f t="shared" si="1"/>
        <v>33.299999999999997</v>
      </c>
      <c r="T77" s="254">
        <f>SUMIF('BL-1'!$C$22:$L$22,"*",'IAT-1'!F77:O77)</f>
        <v>2</v>
      </c>
      <c r="U77" s="254">
        <f t="shared" si="2"/>
        <v>22.2</v>
      </c>
      <c r="V77" s="254">
        <f>SUMIF('BL-1'!$C$23:$L$23,"*",'IAT-1'!F77:O77)</f>
        <v>0</v>
      </c>
      <c r="W77" s="254">
        <f t="shared" si="3"/>
        <v>0</v>
      </c>
      <c r="X77" s="254">
        <f>SUMIF('BL-1'!$C$24:$L$24,"*",'IAT-1'!F77:O77)</f>
        <v>0</v>
      </c>
      <c r="Y77" s="254">
        <f t="shared" si="4"/>
        <v>0</v>
      </c>
      <c r="Z77" s="254">
        <f t="shared" si="5"/>
        <v>18</v>
      </c>
      <c r="AA77" s="254">
        <f t="shared" si="6"/>
        <v>36</v>
      </c>
      <c r="AB77" s="28"/>
    </row>
    <row r="78" spans="2:28" x14ac:dyDescent="0.25">
      <c r="B78" s="2">
        <v>53</v>
      </c>
      <c r="C78" s="112">
        <f>'I1'!B67</f>
        <v>951323243056</v>
      </c>
      <c r="D78" s="251" t="str">
        <f>'I1'!C67</f>
        <v>THOMAS KOILRAJ J</v>
      </c>
      <c r="E78" s="252"/>
      <c r="F78" s="253">
        <f>'I1'!D67</f>
        <v>2</v>
      </c>
      <c r="G78" s="253">
        <f>'I1'!E67</f>
        <v>2</v>
      </c>
      <c r="H78" s="253">
        <f>'I1'!F67</f>
        <v>2</v>
      </c>
      <c r="I78" s="253">
        <f>'I1'!G67</f>
        <v>1</v>
      </c>
      <c r="J78" s="253">
        <f>'I1'!H67</f>
        <v>1</v>
      </c>
      <c r="K78" s="254">
        <f>'I1'!I67+'I1'!J67</f>
        <v>3</v>
      </c>
      <c r="L78" s="254">
        <f>'I1'!K67+'I1'!L67</f>
        <v>0</v>
      </c>
      <c r="M78" s="254">
        <f>'I1'!M67+'I1'!N67</f>
        <v>6</v>
      </c>
      <c r="N78" s="254">
        <f>'I1'!O67+'I1'!P67</f>
        <v>0</v>
      </c>
      <c r="O78" s="254">
        <f>'I1'!Q67+'I1'!R67</f>
        <v>11</v>
      </c>
      <c r="P78" s="254">
        <f>SUMIF('BL-1'!$C$20:$L$20,"*",'IAT-1'!F78:O78)</f>
        <v>18</v>
      </c>
      <c r="Q78" s="254">
        <f t="shared" si="0"/>
        <v>78.3</v>
      </c>
      <c r="R78" s="254">
        <f>SUMIF('BL-1'!$C$21:$L$21,"*",'IAT-1'!F78:O78)</f>
        <v>9</v>
      </c>
      <c r="S78" s="254">
        <f t="shared" si="1"/>
        <v>50</v>
      </c>
      <c r="T78" s="254">
        <f>SUMIF('BL-1'!$C$22:$L$22,"*",'IAT-1'!F78:O78)</f>
        <v>1</v>
      </c>
      <c r="U78" s="254">
        <f t="shared" si="2"/>
        <v>11.1</v>
      </c>
      <c r="V78" s="254">
        <f>SUMIF('BL-1'!$C$23:$L$23,"*",'IAT-1'!F78:O78)</f>
        <v>0</v>
      </c>
      <c r="W78" s="254">
        <f t="shared" si="3"/>
        <v>0</v>
      </c>
      <c r="X78" s="254">
        <f>SUMIF('BL-1'!$C$24:$L$24,"*",'IAT-1'!F78:O78)</f>
        <v>0</v>
      </c>
      <c r="Y78" s="254">
        <f t="shared" si="4"/>
        <v>0</v>
      </c>
      <c r="Z78" s="254">
        <f t="shared" si="5"/>
        <v>28</v>
      </c>
      <c r="AA78" s="254">
        <f t="shared" si="6"/>
        <v>56</v>
      </c>
      <c r="AB78" s="28"/>
    </row>
    <row r="79" spans="2:28" x14ac:dyDescent="0.25">
      <c r="B79" s="2">
        <v>54</v>
      </c>
      <c r="C79" s="112">
        <f>'I1'!B68</f>
        <v>951323243057</v>
      </c>
      <c r="D79" s="251" t="str">
        <f>'I1'!C68</f>
        <v>VANITHA L</v>
      </c>
      <c r="E79" s="252"/>
      <c r="F79" s="253">
        <f>'I1'!D68</f>
        <v>0</v>
      </c>
      <c r="G79" s="253">
        <f>'I1'!E68</f>
        <v>0</v>
      </c>
      <c r="H79" s="253">
        <f>'I1'!F68</f>
        <v>0</v>
      </c>
      <c r="I79" s="253">
        <f>'I1'!G68</f>
        <v>1</v>
      </c>
      <c r="J79" s="253">
        <f>'I1'!H68</f>
        <v>1</v>
      </c>
      <c r="K79" s="254">
        <f>'I1'!I68+'I1'!J68</f>
        <v>3</v>
      </c>
      <c r="L79" s="254">
        <f>'I1'!K68+'I1'!L68</f>
        <v>6</v>
      </c>
      <c r="M79" s="254">
        <f>'I1'!M68+'I1'!N68</f>
        <v>5</v>
      </c>
      <c r="N79" s="254">
        <f>'I1'!O68+'I1'!P68</f>
        <v>7</v>
      </c>
      <c r="O79" s="254">
        <f>'I1'!Q68+'I1'!R68</f>
        <v>12</v>
      </c>
      <c r="P79" s="254">
        <f>SUMIF('BL-1'!$C$20:$L$20,"*",'IAT-1'!F79:O79)</f>
        <v>15</v>
      </c>
      <c r="Q79" s="254">
        <f t="shared" si="0"/>
        <v>65.2</v>
      </c>
      <c r="R79" s="254">
        <f>SUMIF('BL-1'!$C$21:$L$21,"*",'IAT-1'!F79:O79)</f>
        <v>12</v>
      </c>
      <c r="S79" s="254">
        <f t="shared" si="1"/>
        <v>66.7</v>
      </c>
      <c r="T79" s="254">
        <f>SUMIF('BL-1'!$C$22:$L$22,"*",'IAT-1'!F79:O79)</f>
        <v>8</v>
      </c>
      <c r="U79" s="254">
        <f t="shared" si="2"/>
        <v>88.9</v>
      </c>
      <c r="V79" s="254">
        <f>SUMIF('BL-1'!$C$23:$L$23,"*",'IAT-1'!F79:O79)</f>
        <v>0</v>
      </c>
      <c r="W79" s="254">
        <f t="shared" si="3"/>
        <v>0</v>
      </c>
      <c r="X79" s="254">
        <f>SUMIF('BL-1'!$C$24:$L$24,"*",'IAT-1'!F79:O79)</f>
        <v>0</v>
      </c>
      <c r="Y79" s="254">
        <f t="shared" si="4"/>
        <v>0</v>
      </c>
      <c r="Z79" s="254">
        <f t="shared" si="5"/>
        <v>35</v>
      </c>
      <c r="AA79" s="254">
        <f t="shared" si="6"/>
        <v>70</v>
      </c>
      <c r="AB79" s="28"/>
    </row>
    <row r="80" spans="2:28" x14ac:dyDescent="0.25">
      <c r="B80" s="2">
        <v>55</v>
      </c>
      <c r="C80" s="112">
        <f>'I1'!B69</f>
        <v>951323243058</v>
      </c>
      <c r="D80" s="251" t="str">
        <f>'I1'!C69</f>
        <v>VICTOR ROBINSON</v>
      </c>
      <c r="E80" s="254"/>
      <c r="F80" s="253">
        <f>'I1'!D69</f>
        <v>0</v>
      </c>
      <c r="G80" s="253">
        <f>'I1'!E69</f>
        <v>0</v>
      </c>
      <c r="H80" s="253">
        <f>'I1'!F69</f>
        <v>0</v>
      </c>
      <c r="I80" s="253">
        <f>'I1'!G69</f>
        <v>0</v>
      </c>
      <c r="J80" s="253">
        <f>'I1'!H69</f>
        <v>0</v>
      </c>
      <c r="K80" s="254">
        <f>'I1'!I69+'I1'!J69</f>
        <v>0</v>
      </c>
      <c r="L80" s="254">
        <f>'I1'!K69+'I1'!L69</f>
        <v>0</v>
      </c>
      <c r="M80" s="254">
        <f>'I1'!M69+'I1'!N69</f>
        <v>0</v>
      </c>
      <c r="N80" s="254">
        <f>'I1'!O69+'I1'!P69</f>
        <v>0</v>
      </c>
      <c r="O80" s="254">
        <f>'I1'!Q69+'I1'!R69</f>
        <v>5</v>
      </c>
      <c r="P80" s="254">
        <f>SUMIF('BL-1'!$C$20:$L$20,"*",'IAT-1'!F80:O80)</f>
        <v>5</v>
      </c>
      <c r="Q80" s="254">
        <f t="shared" si="0"/>
        <v>21.7</v>
      </c>
      <c r="R80" s="254">
        <f>SUMIF('BL-1'!$C$21:$L$21,"*",'IAT-1'!F80:O80)</f>
        <v>0</v>
      </c>
      <c r="S80" s="254">
        <f t="shared" si="1"/>
        <v>0</v>
      </c>
      <c r="T80" s="254">
        <f>SUMIF('BL-1'!$C$22:$L$22,"*",'IAT-1'!F80:O80)</f>
        <v>0</v>
      </c>
      <c r="U80" s="254">
        <f t="shared" si="2"/>
        <v>0</v>
      </c>
      <c r="V80" s="254">
        <f>SUMIF('BL-1'!$C$23:$L$23,"*",'IAT-1'!F80:O80)</f>
        <v>0</v>
      </c>
      <c r="W80" s="254">
        <f t="shared" si="3"/>
        <v>0</v>
      </c>
      <c r="X80" s="254">
        <f>SUMIF('BL-1'!$C$24:$L$24,"*",'IAT-1'!F80:O80)</f>
        <v>0</v>
      </c>
      <c r="Y80" s="254">
        <f t="shared" si="4"/>
        <v>0</v>
      </c>
      <c r="Z80" s="254">
        <f t="shared" si="5"/>
        <v>5</v>
      </c>
      <c r="AA80" s="254">
        <f t="shared" si="6"/>
        <v>10</v>
      </c>
      <c r="AB80" s="28"/>
    </row>
    <row r="81" spans="2:30" x14ac:dyDescent="0.25">
      <c r="B81" s="2">
        <v>56</v>
      </c>
      <c r="C81" s="112">
        <f>'I1'!B70</f>
        <v>951323243059</v>
      </c>
      <c r="D81" s="251" t="str">
        <f>'I1'!C70</f>
        <v>VIJAYAPRAKASH S</v>
      </c>
      <c r="E81" s="254"/>
      <c r="F81" s="253">
        <f>'I1'!D70</f>
        <v>0</v>
      </c>
      <c r="G81" s="253">
        <f>'I1'!E70</f>
        <v>0</v>
      </c>
      <c r="H81" s="253">
        <f>'I1'!F70</f>
        <v>0</v>
      </c>
      <c r="I81" s="253">
        <f>'I1'!G70</f>
        <v>0</v>
      </c>
      <c r="J81" s="253">
        <f>'I1'!H70</f>
        <v>0</v>
      </c>
      <c r="K81" s="254">
        <f>'I1'!I70+'I1'!J70</f>
        <v>0</v>
      </c>
      <c r="L81" s="254">
        <f>'I1'!K70+'I1'!L70</f>
        <v>0</v>
      </c>
      <c r="M81" s="254">
        <f>'I1'!M70+'I1'!N70</f>
        <v>0</v>
      </c>
      <c r="N81" s="254">
        <f>'I1'!O70+'I1'!P70</f>
        <v>0</v>
      </c>
      <c r="O81" s="254">
        <f>'I1'!Q70+'I1'!R70</f>
        <v>0</v>
      </c>
      <c r="P81" s="254">
        <f>SUMIF('BL-1'!$C$20:$L$20,"*",'IAT-1'!F81:O81)</f>
        <v>0</v>
      </c>
      <c r="Q81" s="254">
        <f t="shared" si="0"/>
        <v>0</v>
      </c>
      <c r="R81" s="254">
        <f>SUMIF('BL-1'!$C$21:$L$21,"*",'IAT-1'!F81:O81)</f>
        <v>0</v>
      </c>
      <c r="S81" s="254">
        <f t="shared" si="1"/>
        <v>0</v>
      </c>
      <c r="T81" s="254">
        <f>SUMIF('BL-1'!$C$22:$L$22,"*",'IAT-1'!F81:O81)</f>
        <v>0</v>
      </c>
      <c r="U81" s="254">
        <f t="shared" si="2"/>
        <v>0</v>
      </c>
      <c r="V81" s="254">
        <f>SUMIF('BL-1'!$C$23:$L$23,"*",'IAT-1'!F81:O81)</f>
        <v>0</v>
      </c>
      <c r="W81" s="254">
        <f t="shared" si="3"/>
        <v>0</v>
      </c>
      <c r="X81" s="254">
        <f>SUMIF('BL-1'!$C$24:$L$24,"*",'IAT-1'!F81:O81)</f>
        <v>0</v>
      </c>
      <c r="Y81" s="254">
        <f t="shared" si="4"/>
        <v>0</v>
      </c>
      <c r="Z81" s="254">
        <f t="shared" si="5"/>
        <v>0</v>
      </c>
      <c r="AA81" s="254">
        <f t="shared" si="6"/>
        <v>0</v>
      </c>
      <c r="AB81" s="28"/>
    </row>
    <row r="82" spans="2:30" x14ac:dyDescent="0.25">
      <c r="B82" s="2">
        <v>57</v>
      </c>
      <c r="C82" s="112">
        <f>'I1'!B71</f>
        <v>951323243060</v>
      </c>
      <c r="D82" s="251" t="str">
        <f>'I1'!C71</f>
        <v>VIJITHA BLESSY V</v>
      </c>
      <c r="E82" s="254"/>
      <c r="F82" s="253">
        <f>'I1'!D71</f>
        <v>0</v>
      </c>
      <c r="G82" s="253">
        <f>'I1'!E71</f>
        <v>0</v>
      </c>
      <c r="H82" s="253">
        <f>'I1'!F71</f>
        <v>2</v>
      </c>
      <c r="I82" s="253">
        <f>'I1'!G71</f>
        <v>0</v>
      </c>
      <c r="J82" s="253">
        <f>'I1'!H71</f>
        <v>0</v>
      </c>
      <c r="K82" s="254">
        <f>'I1'!I73+'I1'!J73</f>
        <v>0</v>
      </c>
      <c r="L82" s="256">
        <f>'I1'!K71+'I1'!L71</f>
        <v>5</v>
      </c>
      <c r="M82" s="256">
        <f>'I1'!M71+'I1'!N71</f>
        <v>6</v>
      </c>
      <c r="N82" s="256">
        <f>'I1'!O71+'I1'!P71</f>
        <v>3</v>
      </c>
      <c r="O82" s="256">
        <f>'I1'!Q71+'I1'!R71</f>
        <v>11</v>
      </c>
      <c r="P82" s="256">
        <f>SUMIF('BL-1'!$C$20:$L$20,"*",'IAT-1'!F82:O82)</f>
        <v>11</v>
      </c>
      <c r="Q82" s="256">
        <f t="shared" si="0"/>
        <v>47.8</v>
      </c>
      <c r="R82" s="254">
        <f>SUMIF('BL-1'!$C$21:$L$21,"*",'IAT-1'!F82:O82)</f>
        <v>13</v>
      </c>
      <c r="S82" s="254">
        <f t="shared" si="1"/>
        <v>72.2</v>
      </c>
      <c r="T82" s="254">
        <f>SUMIF('BL-1'!$C$22:$L$22,"*",'IAT-1'!F82:O82)</f>
        <v>3</v>
      </c>
      <c r="U82" s="254">
        <f t="shared" si="2"/>
        <v>33.299999999999997</v>
      </c>
      <c r="V82" s="254">
        <f>SUMIF('BL-1'!$C$23:$L$23,"*",'IAT-1'!F82:O82)</f>
        <v>0</v>
      </c>
      <c r="W82" s="254">
        <f t="shared" si="3"/>
        <v>0</v>
      </c>
      <c r="X82" s="254">
        <f>SUMIF('BL-1'!$C$24:$L$24,"*",'IAT-1'!F82:O82)</f>
        <v>0</v>
      </c>
      <c r="Y82" s="254">
        <f t="shared" si="4"/>
        <v>0</v>
      </c>
      <c r="Z82" s="254">
        <f t="shared" si="5"/>
        <v>27</v>
      </c>
      <c r="AA82" s="254">
        <f t="shared" si="6"/>
        <v>54</v>
      </c>
      <c r="AB82" s="28"/>
    </row>
    <row r="83" spans="2:30" ht="15.75" x14ac:dyDescent="0.25">
      <c r="D83" s="28"/>
      <c r="E83" s="402" t="s">
        <v>153</v>
      </c>
      <c r="F83" s="401"/>
      <c r="G83" s="401"/>
      <c r="H83" s="401"/>
      <c r="I83" s="401"/>
      <c r="J83" s="401"/>
      <c r="K83" s="401"/>
      <c r="L83" s="401"/>
      <c r="M83" s="401"/>
      <c r="N83" s="401"/>
      <c r="O83" s="401"/>
      <c r="P83" s="244"/>
      <c r="Q83" s="244">
        <f>COUNTIF(Q26:Q82,"&gt;=50")</f>
        <v>42</v>
      </c>
      <c r="R83" s="244"/>
      <c r="S83" s="244">
        <f>COUNTIF(S26:S82,"&gt;=50")</f>
        <v>38</v>
      </c>
      <c r="T83" s="244"/>
      <c r="U83" s="244">
        <f>COUNTIF(U26:U82,"&gt;=50")</f>
        <v>39</v>
      </c>
      <c r="V83" s="244"/>
      <c r="W83" s="244">
        <f>COUNTIF(W26:W82,"&gt;=50")</f>
        <v>0</v>
      </c>
      <c r="X83" s="244"/>
      <c r="Y83" s="244">
        <f>COUNTIF(Y26:Y82,"&gt;=50")</f>
        <v>0</v>
      </c>
      <c r="Z83" s="28"/>
      <c r="AA83" s="28"/>
      <c r="AB83" s="28"/>
    </row>
    <row r="84" spans="2:30" ht="15.75" x14ac:dyDescent="0.25">
      <c r="D84" s="28"/>
      <c r="E84" s="401" t="s">
        <v>154</v>
      </c>
      <c r="F84" s="401"/>
      <c r="G84" s="401"/>
      <c r="H84" s="401"/>
      <c r="I84" s="401"/>
      <c r="J84" s="401"/>
      <c r="K84" s="401"/>
      <c r="L84" s="401"/>
      <c r="M84" s="401"/>
      <c r="N84" s="401"/>
      <c r="O84" s="401"/>
      <c r="P84" s="244"/>
      <c r="Q84" s="244">
        <f>ROUND(IFERROR(Q83/$Z$9,0)*100,1)</f>
        <v>73.7</v>
      </c>
      <c r="R84" s="244"/>
      <c r="S84" s="244">
        <f>ROUND(IFERROR(S83/$Z$9,0)*100,1)</f>
        <v>66.7</v>
      </c>
      <c r="T84" s="244"/>
      <c r="U84" s="244">
        <f>ROUND(IFERROR(U83/$Z$9,0)*100,1)</f>
        <v>68.400000000000006</v>
      </c>
      <c r="V84" s="244"/>
      <c r="W84" s="244">
        <f>ROUND(IFERROR(W83/$Z$9,0)*100,1)</f>
        <v>0</v>
      </c>
      <c r="X84" s="244"/>
      <c r="Y84" s="244">
        <f>ROUND(IFERROR(Y83/$Z$9,0)*100,1)</f>
        <v>0</v>
      </c>
      <c r="Z84" s="28"/>
      <c r="AA84" s="28"/>
      <c r="AB84" s="28"/>
      <c r="AC84" s="25"/>
      <c r="AD84" s="25"/>
    </row>
    <row r="85" spans="2:30" ht="15.75" x14ac:dyDescent="0.25">
      <c r="D85" s="28"/>
      <c r="E85" s="401" t="s">
        <v>32</v>
      </c>
      <c r="F85" s="401"/>
      <c r="G85" s="401"/>
      <c r="H85" s="401"/>
      <c r="I85" s="401"/>
      <c r="J85" s="401"/>
      <c r="K85" s="401"/>
      <c r="L85" s="401"/>
      <c r="M85" s="401"/>
      <c r="N85" s="401"/>
      <c r="O85" s="401"/>
      <c r="P85" s="244"/>
      <c r="Q85" s="244">
        <f>IF(Q84&gt;=60,3,IF(Q84&gt;=50,2,IF(Q84&gt;=40,1,0)))</f>
        <v>3</v>
      </c>
      <c r="R85" s="244"/>
      <c r="S85" s="244">
        <f>IF(S84&gt;=60,3,IF(S84&gt;=50,2,IF(S84&gt;=40,1,0)))</f>
        <v>3</v>
      </c>
      <c r="T85" s="244"/>
      <c r="U85" s="244">
        <f>IF(U84&gt;=60,3,IF(U84&gt;=50,2,IF(U84&gt;=40,1,0)))</f>
        <v>3</v>
      </c>
      <c r="V85" s="244"/>
      <c r="W85" s="244">
        <f>IF(W84&gt;=60,3,IF(W84&gt;=50,2,IF(W84&gt;=40,1,0)))</f>
        <v>0</v>
      </c>
      <c r="X85" s="244"/>
      <c r="Y85" s="244">
        <f>IF(Y84&gt;=60,3,IF(Y84&gt;=50,2,IF(Y84&gt;=40,1,0)))</f>
        <v>0</v>
      </c>
      <c r="Z85" s="28"/>
      <c r="AA85" s="28"/>
      <c r="AB85" s="28"/>
    </row>
  </sheetData>
  <mergeCells count="49">
    <mergeCell ref="G9:H9"/>
    <mergeCell ref="E84:O84"/>
    <mergeCell ref="E85:O85"/>
    <mergeCell ref="Z20:AA24"/>
    <mergeCell ref="E83:O83"/>
    <mergeCell ref="K21:K22"/>
    <mergeCell ref="L21:L22"/>
    <mergeCell ref="M21:M22"/>
    <mergeCell ref="O21:O22"/>
    <mergeCell ref="X20:Y24"/>
    <mergeCell ref="O9:X9"/>
    <mergeCell ref="P20:Q24"/>
    <mergeCell ref="O11:P11"/>
    <mergeCell ref="O12:P12"/>
    <mergeCell ref="O13:P13"/>
    <mergeCell ref="O14:P14"/>
    <mergeCell ref="B20:B25"/>
    <mergeCell ref="C20:C25"/>
    <mergeCell ref="D20:D25"/>
    <mergeCell ref="F20:J20"/>
    <mergeCell ref="E21:E22"/>
    <mergeCell ref="F21:F22"/>
    <mergeCell ref="G21:G22"/>
    <mergeCell ref="H21:H22"/>
    <mergeCell ref="I21:I22"/>
    <mergeCell ref="J21:J22"/>
    <mergeCell ref="B6:M6"/>
    <mergeCell ref="B1:M1"/>
    <mergeCell ref="B2:M2"/>
    <mergeCell ref="B3:M3"/>
    <mergeCell ref="B4:M4"/>
    <mergeCell ref="B5:M5"/>
    <mergeCell ref="N21:N22"/>
    <mergeCell ref="R20:S24"/>
    <mergeCell ref="T20:U24"/>
    <mergeCell ref="V20:W24"/>
    <mergeCell ref="D18:O18"/>
    <mergeCell ref="E19:F19"/>
    <mergeCell ref="G19:H19"/>
    <mergeCell ref="AA17:AB17"/>
    <mergeCell ref="I16:AB16"/>
    <mergeCell ref="Q12:AC12"/>
    <mergeCell ref="Q11:AC11"/>
    <mergeCell ref="K20:O20"/>
    <mergeCell ref="P19:Y19"/>
    <mergeCell ref="Y17:Z17"/>
    <mergeCell ref="I19:J19"/>
    <mergeCell ref="K19:L19"/>
    <mergeCell ref="M19:O19"/>
  </mergeCells>
  <pageMargins left="0.7" right="0.7" top="0.75" bottom="0.75" header="0.3" footer="0.3"/>
  <pageSetup orientation="portrait" verticalDpi="300" r:id="rId1"/>
  <ignoredErrors>
    <ignoredError sqref="R26 T26:T27 V26 X26" 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2"/>
  <sheetViews>
    <sheetView zoomScale="80" zoomScaleNormal="80" workbookViewId="0">
      <selection activeCell="I16" sqref="I16:Z16"/>
    </sheetView>
  </sheetViews>
  <sheetFormatPr defaultRowHeight="15" x14ac:dyDescent="0.25"/>
  <cols>
    <col min="1" max="1" width="11" customWidth="1"/>
    <col min="2" max="2" width="6.7109375" customWidth="1"/>
    <col min="3" max="3" width="17.28515625" customWidth="1"/>
    <col min="4" max="4" width="31.85546875" customWidth="1"/>
    <col min="6" max="6" width="7.7109375" customWidth="1"/>
    <col min="7" max="7" width="6.28515625" customWidth="1"/>
    <col min="8" max="8" width="6.140625" customWidth="1"/>
    <col min="9" max="9" width="6.85546875" customWidth="1"/>
    <col min="10" max="10" width="7.140625" customWidth="1"/>
    <col min="11" max="11" width="6.5703125" customWidth="1"/>
    <col min="12" max="12" width="6.28515625" customWidth="1"/>
    <col min="13" max="14" width="5.85546875" customWidth="1"/>
    <col min="15" max="18" width="6.140625" customWidth="1"/>
    <col min="19" max="19" width="6.7109375" customWidth="1"/>
    <col min="20" max="20" width="6.5703125" customWidth="1"/>
    <col min="21" max="21" width="8" customWidth="1"/>
    <col min="22" max="22" width="6.5703125" customWidth="1"/>
    <col min="23" max="23" width="8" customWidth="1"/>
    <col min="24" max="24" width="6.85546875" customWidth="1"/>
    <col min="25" max="25" width="6.42578125" customWidth="1"/>
    <col min="26" max="26" width="7.28515625" customWidth="1"/>
    <col min="27" max="27" width="6" customWidth="1"/>
    <col min="28" max="28" width="34.28515625" customWidth="1"/>
    <col min="29" max="29" width="25" customWidth="1"/>
    <col min="30" max="30" width="28.42578125" customWidth="1"/>
  </cols>
  <sheetData>
    <row r="1" spans="1:29" x14ac:dyDescent="0.25">
      <c r="A1" s="74"/>
      <c r="E1" s="1" t="str">
        <f>'BL-1'!A1</f>
        <v>JAYARAJ ANNAPACKIAM C. S. I. COLLEGE OF ENGINEERING</v>
      </c>
      <c r="F1" s="1"/>
      <c r="G1" s="1"/>
      <c r="H1" s="1"/>
      <c r="J1" s="1"/>
      <c r="K1" s="1"/>
      <c r="L1" s="1"/>
      <c r="M1" s="1"/>
      <c r="N1" s="1"/>
    </row>
    <row r="2" spans="1:29" x14ac:dyDescent="0.25">
      <c r="A2" s="74"/>
      <c r="E2" s="1" t="str">
        <f>'BL-1'!A2</f>
        <v>(Approved by AICTE, New Delhi and Affiliated to Anna University)</v>
      </c>
      <c r="F2" s="60"/>
      <c r="G2" s="60"/>
      <c r="H2" s="60"/>
      <c r="J2" s="60"/>
      <c r="K2" s="60"/>
      <c r="L2" s="60"/>
      <c r="M2" s="60"/>
      <c r="N2" s="60"/>
    </row>
    <row r="3" spans="1:29" x14ac:dyDescent="0.25">
      <c r="A3" s="74"/>
      <c r="E3" s="1" t="str">
        <f>'BL-1'!A3</f>
        <v>MARGOSCHIS NAGAR, NAZARETH - 628 617</v>
      </c>
      <c r="F3" s="1"/>
      <c r="G3" s="1"/>
      <c r="H3" s="1"/>
      <c r="J3" s="1"/>
      <c r="K3" s="1"/>
      <c r="L3" s="1"/>
      <c r="M3" s="1"/>
      <c r="N3" s="1"/>
    </row>
    <row r="4" spans="1:29" x14ac:dyDescent="0.25">
      <c r="A4" s="74"/>
      <c r="E4" s="1" t="str">
        <f>'BL-1'!A4</f>
        <v>DEPARTMENT OF ARTIFICIAL INTELLIGENCE AND DATA SCIENCE</v>
      </c>
      <c r="F4" s="1"/>
      <c r="G4" s="1"/>
      <c r="H4" s="1"/>
      <c r="J4" s="1"/>
      <c r="K4" s="1"/>
      <c r="L4" s="1"/>
      <c r="M4" s="1"/>
      <c r="N4" s="1"/>
    </row>
    <row r="5" spans="1:29" x14ac:dyDescent="0.25">
      <c r="A5" s="74"/>
      <c r="E5" s="1" t="s">
        <v>5</v>
      </c>
      <c r="F5" s="1"/>
      <c r="G5" s="1"/>
      <c r="H5" s="1"/>
      <c r="J5" s="1"/>
      <c r="K5" s="1"/>
      <c r="L5" s="1"/>
      <c r="M5" s="1"/>
      <c r="N5" s="1"/>
    </row>
    <row r="6" spans="1:29" x14ac:dyDescent="0.25">
      <c r="A6" s="74"/>
      <c r="E6" s="1" t="s">
        <v>33</v>
      </c>
      <c r="F6" s="1"/>
      <c r="G6" s="1"/>
      <c r="H6" s="1"/>
      <c r="J6" s="1"/>
      <c r="K6" s="1"/>
      <c r="L6" s="1"/>
      <c r="M6" s="1"/>
      <c r="N6" s="1"/>
    </row>
    <row r="7" spans="1:29" x14ac:dyDescent="0.25">
      <c r="B7" s="1"/>
      <c r="C7" s="1"/>
      <c r="D7" s="1"/>
      <c r="E7" s="1"/>
      <c r="F7" s="1"/>
      <c r="G7" s="1"/>
      <c r="H7" s="1"/>
      <c r="I7" s="1"/>
      <c r="J7" s="1"/>
      <c r="K7" s="1"/>
      <c r="L7" s="1"/>
      <c r="M7" s="1"/>
      <c r="N7" s="1"/>
    </row>
    <row r="8" spans="1:29" ht="15.75" x14ac:dyDescent="0.25">
      <c r="A8" s="10" t="str">
        <f>'IAT-1'!A8</f>
        <v>COURSE CODE / NAME: CW3551 DATA AND INFORMATION SECURITY</v>
      </c>
      <c r="B8" s="11"/>
      <c r="C8" s="11"/>
      <c r="D8" s="11"/>
      <c r="E8" s="11"/>
      <c r="F8" s="11"/>
      <c r="G8" s="11" t="str">
        <f>'BL-1'!I9</f>
        <v>CLASS  : III ADS</v>
      </c>
      <c r="H8" s="11"/>
      <c r="J8" s="11"/>
      <c r="K8" s="11" t="str">
        <f>'BL-1'!I8</f>
        <v>BATCH: 2023-2027</v>
      </c>
      <c r="L8" s="11"/>
      <c r="O8" s="11" t="str">
        <f>'BL-1'!M8</f>
        <v>SEM:05</v>
      </c>
      <c r="P8" s="11"/>
      <c r="Q8" s="11"/>
      <c r="X8" s="22"/>
      <c r="Y8" s="22"/>
    </row>
    <row r="9" spans="1:29" ht="15.75" x14ac:dyDescent="0.25">
      <c r="A9" s="10" t="str">
        <f>'IAT-1'!A9</f>
        <v>COURSE INSTRUCTOR/DESIGNATION: G. ALISHA EVANGELINE,AP/ADS</v>
      </c>
      <c r="B9" s="11"/>
      <c r="C9" s="11"/>
      <c r="D9" s="11"/>
      <c r="F9" s="10" t="str">
        <f>'BL-1'!M9</f>
        <v>DATE:</v>
      </c>
      <c r="G9" s="400">
        <f>'BL-2'!M31</f>
        <v>45758</v>
      </c>
      <c r="H9" s="400"/>
      <c r="I9" s="124"/>
      <c r="J9" s="11" t="str">
        <f>'BL-1'!O9</f>
        <v>TIME:</v>
      </c>
      <c r="K9" s="123" t="s">
        <v>161</v>
      </c>
      <c r="L9" s="11"/>
      <c r="M9" s="92"/>
      <c r="N9" s="408" t="s">
        <v>144</v>
      </c>
      <c r="O9" s="408"/>
      <c r="P9" s="408"/>
      <c r="Q9" s="408"/>
      <c r="R9" s="408"/>
      <c r="S9" s="408"/>
      <c r="T9" s="408"/>
      <c r="U9" s="88">
        <f>'IAT-1'!$Z$9</f>
        <v>57</v>
      </c>
      <c r="V9" s="88"/>
      <c r="W9" s="88"/>
      <c r="X9" s="22"/>
      <c r="Y9" s="22"/>
      <c r="Z9">
        <f>'IAT-1'!Z9</f>
        <v>57</v>
      </c>
    </row>
    <row r="10" spans="1:29" x14ac:dyDescent="0.25">
      <c r="D10" s="8"/>
      <c r="E10" s="8"/>
      <c r="F10" s="8"/>
      <c r="G10" s="118"/>
      <c r="H10" s="8"/>
      <c r="X10" s="70"/>
      <c r="Z10" s="22"/>
      <c r="AA10" s="22"/>
    </row>
    <row r="11" spans="1:29" ht="31.5" customHeight="1" x14ac:dyDescent="0.25">
      <c r="A11" s="9" t="s">
        <v>9</v>
      </c>
      <c r="B11" s="8"/>
      <c r="C11" s="8"/>
      <c r="F11" s="1"/>
      <c r="O11" s="404" t="s">
        <v>67</v>
      </c>
      <c r="P11" s="410"/>
      <c r="Q11" s="410"/>
      <c r="R11" s="410"/>
      <c r="S11" s="405"/>
      <c r="T11" s="372" t="s">
        <v>11</v>
      </c>
      <c r="U11" s="373"/>
      <c r="V11" s="373"/>
      <c r="W11" s="373"/>
      <c r="X11" s="373"/>
      <c r="Y11" s="373"/>
      <c r="Z11" s="373"/>
      <c r="AA11" s="373"/>
      <c r="AB11" s="374"/>
      <c r="AC11" s="32" t="s">
        <v>32</v>
      </c>
    </row>
    <row r="12" spans="1:29" ht="15.75" x14ac:dyDescent="0.25">
      <c r="A12" s="118" t="str">
        <f>'BL-1'!A12</f>
        <v>CO 1</v>
      </c>
      <c r="B12" s="116" t="str">
        <f>'BL-1'!B12</f>
        <v>Understand the basics of data and information security</v>
      </c>
      <c r="C12" s="1"/>
      <c r="D12" s="1"/>
      <c r="E12" s="1"/>
      <c r="F12" s="1"/>
      <c r="G12" s="1"/>
      <c r="O12" s="406">
        <v>1</v>
      </c>
      <c r="P12" s="409"/>
      <c r="Q12" s="409"/>
      <c r="R12" s="409"/>
      <c r="S12" s="407"/>
      <c r="T12" s="16" t="s">
        <v>164</v>
      </c>
      <c r="U12" s="16"/>
      <c r="V12" s="16" t="s">
        <v>164</v>
      </c>
      <c r="W12" s="16"/>
      <c r="X12" s="16"/>
      <c r="Y12" s="16"/>
      <c r="Z12" s="16"/>
      <c r="AA12" s="16"/>
      <c r="AB12" s="69"/>
      <c r="AC12" s="26" t="s">
        <v>13</v>
      </c>
    </row>
    <row r="13" spans="1:29" ht="15.75" x14ac:dyDescent="0.25">
      <c r="A13" s="118" t="str">
        <f>'BL-1'!A13</f>
        <v>CO 2</v>
      </c>
      <c r="B13" s="116" t="str">
        <f>'BL-1'!B13</f>
        <v>Understand the legal, ethical and professional issues in information security</v>
      </c>
      <c r="C13" s="1"/>
      <c r="D13" s="1"/>
      <c r="E13" s="1"/>
      <c r="F13" s="1"/>
      <c r="G13" s="1"/>
      <c r="O13" s="406">
        <v>2</v>
      </c>
      <c r="P13" s="409"/>
      <c r="Q13" s="409"/>
      <c r="R13" s="409"/>
      <c r="S13" s="407"/>
      <c r="T13" s="16" t="s">
        <v>163</v>
      </c>
      <c r="U13" s="16"/>
      <c r="V13" s="16" t="s">
        <v>163</v>
      </c>
      <c r="W13" s="16"/>
      <c r="X13" s="16"/>
      <c r="Y13" s="16"/>
      <c r="Z13" s="16"/>
      <c r="AA13" s="16"/>
      <c r="AB13" s="69"/>
      <c r="AC13" s="26" t="s">
        <v>15</v>
      </c>
    </row>
    <row r="14" spans="1:29" ht="15.75" x14ac:dyDescent="0.25">
      <c r="A14" s="118" t="str">
        <f>'BL-1'!A14</f>
        <v>CO 3</v>
      </c>
      <c r="B14" s="116" t="str">
        <f>'BL-1'!B14</f>
        <v>Understand the various authentication schemes to simulate different applications</v>
      </c>
      <c r="C14" s="1"/>
      <c r="D14" s="1"/>
      <c r="O14" s="406">
        <v>3</v>
      </c>
      <c r="P14" s="409"/>
      <c r="Q14" s="409"/>
      <c r="R14" s="409"/>
      <c r="S14" s="407"/>
      <c r="T14" s="16" t="s">
        <v>162</v>
      </c>
      <c r="U14" s="16"/>
      <c r="V14" s="16" t="s">
        <v>162</v>
      </c>
      <c r="W14" s="16"/>
      <c r="X14" s="16"/>
      <c r="Y14" s="16"/>
      <c r="Z14" s="16"/>
      <c r="AA14" s="16"/>
      <c r="AB14" s="69"/>
      <c r="AC14" s="26" t="s">
        <v>17</v>
      </c>
    </row>
    <row r="15" spans="1:29" ht="15.75" x14ac:dyDescent="0.25">
      <c r="A15" s="118" t="str">
        <f>'BL-1'!A15</f>
        <v>CO 4</v>
      </c>
      <c r="B15" s="116" t="str">
        <f>'BL-1'!B15</f>
        <v>Understand various security practices and system security standards</v>
      </c>
      <c r="C15" s="1"/>
      <c r="D15" s="1"/>
      <c r="E15" s="1"/>
      <c r="F15" s="1"/>
      <c r="G15" s="1"/>
      <c r="R15" s="20"/>
      <c r="S15" s="20"/>
      <c r="T15" s="21"/>
      <c r="U15" s="21"/>
      <c r="V15" s="21"/>
      <c r="W15" s="21"/>
      <c r="X15" s="21"/>
      <c r="Y15" s="21"/>
      <c r="Z15" s="21"/>
      <c r="AA15" s="21"/>
    </row>
    <row r="16" spans="1:29" x14ac:dyDescent="0.25">
      <c r="A16" s="118" t="str">
        <f>'BL-1'!A16</f>
        <v>CO 5</v>
      </c>
      <c r="B16" s="116" t="str">
        <f>'BL-1'!B16</f>
        <v>Understand the web security protocols for E-commerce applications</v>
      </c>
      <c r="C16" s="1"/>
      <c r="D16" s="1"/>
      <c r="G16" s="1"/>
      <c r="I16" s="368"/>
      <c r="J16" s="368"/>
      <c r="K16" s="368"/>
      <c r="L16" s="368"/>
      <c r="M16" s="368"/>
      <c r="N16" s="368"/>
      <c r="O16" s="368"/>
      <c r="P16" s="368"/>
      <c r="Q16" s="368"/>
      <c r="R16" s="368"/>
      <c r="S16" s="368"/>
      <c r="T16" s="368"/>
      <c r="U16" s="368"/>
      <c r="V16" s="368"/>
      <c r="W16" s="368"/>
      <c r="X16" s="368"/>
      <c r="Y16" s="368"/>
      <c r="Z16" s="368"/>
    </row>
    <row r="17" spans="2:27" x14ac:dyDescent="0.25">
      <c r="I17" s="7"/>
      <c r="J17" s="7"/>
      <c r="K17" s="7"/>
      <c r="L17" s="7"/>
      <c r="M17" s="368"/>
      <c r="N17" s="368"/>
      <c r="O17" s="368"/>
      <c r="P17" s="56"/>
      <c r="Q17" s="56"/>
      <c r="R17" s="368"/>
      <c r="S17" s="368"/>
      <c r="T17" s="368"/>
      <c r="U17" s="368"/>
      <c r="V17" s="368"/>
      <c r="W17" s="368"/>
      <c r="X17" s="368"/>
      <c r="Y17" s="368"/>
      <c r="Z17" s="368"/>
    </row>
    <row r="18" spans="2:27" x14ac:dyDescent="0.25">
      <c r="B18" s="28"/>
      <c r="C18" s="28"/>
      <c r="D18" s="382" t="s">
        <v>225</v>
      </c>
      <c r="E18" s="382"/>
      <c r="F18" s="382"/>
      <c r="G18" s="382"/>
      <c r="H18" s="382"/>
      <c r="I18" s="382"/>
      <c r="J18" s="382"/>
      <c r="K18" s="382"/>
      <c r="L18" s="382"/>
      <c r="M18" s="382"/>
      <c r="N18" s="382"/>
      <c r="O18" s="382"/>
      <c r="P18" s="243"/>
      <c r="Q18" s="243"/>
      <c r="R18" s="243"/>
      <c r="S18" s="243"/>
      <c r="T18" s="243"/>
      <c r="U18" s="243"/>
      <c r="V18" s="243"/>
      <c r="W18" s="243"/>
      <c r="X18" s="243"/>
      <c r="Y18" s="243"/>
      <c r="Z18" s="95"/>
    </row>
    <row r="19" spans="2:27" x14ac:dyDescent="0.25">
      <c r="B19" s="28"/>
      <c r="C19" s="28"/>
      <c r="D19" s="244" t="s">
        <v>21</v>
      </c>
      <c r="E19" s="391" t="s">
        <v>24</v>
      </c>
      <c r="F19" s="392"/>
      <c r="G19" s="380" t="s">
        <v>26</v>
      </c>
      <c r="H19" s="381"/>
      <c r="I19" s="380" t="s">
        <v>22</v>
      </c>
      <c r="J19" s="381"/>
      <c r="K19" s="382" t="s">
        <v>25</v>
      </c>
      <c r="L19" s="382"/>
      <c r="M19" s="382" t="s">
        <v>23</v>
      </c>
      <c r="N19" s="382"/>
      <c r="O19" s="382"/>
      <c r="P19" s="411" t="s">
        <v>145</v>
      </c>
      <c r="Q19" s="411"/>
      <c r="R19" s="411"/>
      <c r="S19" s="411"/>
      <c r="T19" s="411"/>
      <c r="U19" s="411"/>
      <c r="V19" s="411"/>
      <c r="W19" s="411"/>
      <c r="X19" s="411"/>
      <c r="Y19" s="411"/>
    </row>
    <row r="20" spans="2:27" ht="15.75" customHeight="1" x14ac:dyDescent="0.25">
      <c r="B20" s="257" t="s">
        <v>6</v>
      </c>
      <c r="C20" s="257" t="s">
        <v>7</v>
      </c>
      <c r="D20" s="258" t="s">
        <v>8</v>
      </c>
      <c r="E20" s="245" t="s">
        <v>34</v>
      </c>
      <c r="F20" s="375" t="s">
        <v>18</v>
      </c>
      <c r="G20" s="376"/>
      <c r="H20" s="376"/>
      <c r="I20" s="376"/>
      <c r="J20" s="397"/>
      <c r="K20" s="375" t="s">
        <v>19</v>
      </c>
      <c r="L20" s="376"/>
      <c r="M20" s="376"/>
      <c r="N20" s="376"/>
      <c r="O20" s="397"/>
      <c r="P20" s="385" t="s">
        <v>192</v>
      </c>
      <c r="Q20" s="386"/>
      <c r="R20" s="385" t="s">
        <v>193</v>
      </c>
      <c r="S20" s="386"/>
      <c r="T20" s="385" t="s">
        <v>194</v>
      </c>
      <c r="U20" s="386"/>
      <c r="V20" s="385" t="s">
        <v>224</v>
      </c>
      <c r="W20" s="386"/>
      <c r="X20" s="385" t="s">
        <v>191</v>
      </c>
      <c r="Y20" s="386"/>
      <c r="Z20" s="385" t="s">
        <v>31</v>
      </c>
      <c r="AA20" s="386"/>
    </row>
    <row r="21" spans="2:27" ht="15.75" x14ac:dyDescent="0.25">
      <c r="B21" s="259"/>
      <c r="C21" s="259"/>
      <c r="D21" s="260"/>
      <c r="E21" s="261" t="s">
        <v>96</v>
      </c>
      <c r="F21" s="249">
        <v>1</v>
      </c>
      <c r="G21" s="249">
        <v>2</v>
      </c>
      <c r="H21" s="249">
        <v>3</v>
      </c>
      <c r="I21" s="249">
        <v>4</v>
      </c>
      <c r="J21" s="249">
        <v>5</v>
      </c>
      <c r="K21" s="249">
        <v>6</v>
      </c>
      <c r="L21" s="249">
        <v>7</v>
      </c>
      <c r="M21" s="249">
        <v>8</v>
      </c>
      <c r="N21" s="249">
        <v>9</v>
      </c>
      <c r="O21" s="249">
        <v>10</v>
      </c>
      <c r="P21" s="387"/>
      <c r="Q21" s="388"/>
      <c r="R21" s="387"/>
      <c r="S21" s="388"/>
      <c r="T21" s="387"/>
      <c r="U21" s="388"/>
      <c r="V21" s="387"/>
      <c r="W21" s="388"/>
      <c r="X21" s="387"/>
      <c r="Y21" s="388"/>
      <c r="Z21" s="387"/>
      <c r="AA21" s="388"/>
    </row>
    <row r="22" spans="2:27" ht="15.75" x14ac:dyDescent="0.25">
      <c r="B22" s="259"/>
      <c r="C22" s="259"/>
      <c r="D22" s="260"/>
      <c r="E22" s="262"/>
      <c r="F22" s="248"/>
      <c r="G22" s="248"/>
      <c r="H22" s="248"/>
      <c r="I22" s="248"/>
      <c r="J22" s="248"/>
      <c r="K22" s="248"/>
      <c r="L22" s="248"/>
      <c r="M22" s="248"/>
      <c r="N22" s="248"/>
      <c r="O22" s="248"/>
      <c r="P22" s="387"/>
      <c r="Q22" s="388"/>
      <c r="R22" s="387"/>
      <c r="S22" s="388"/>
      <c r="T22" s="387"/>
      <c r="U22" s="388"/>
      <c r="V22" s="387"/>
      <c r="W22" s="388"/>
      <c r="X22" s="387"/>
      <c r="Y22" s="388"/>
      <c r="Z22" s="387"/>
      <c r="AA22" s="388"/>
    </row>
    <row r="23" spans="2:27" ht="15.75" x14ac:dyDescent="0.25">
      <c r="B23" s="259"/>
      <c r="C23" s="259"/>
      <c r="D23" s="260"/>
      <c r="E23" s="246" t="s">
        <v>28</v>
      </c>
      <c r="F23" s="247">
        <f>IF('BL-2'!C20="ü",1,IF('BL-2'!C21="ü",2,IF('BL-2'!C22="ü",3,IF('BL-2'!C23="ü",4,IF('BL-2'!C24="ü",5,0)))))</f>
        <v>3</v>
      </c>
      <c r="G23" s="247">
        <f>IF('BL-2'!D20="ü",1,IF('BL-2'!D21="ü",2,IF('BL-2'!D22="ü",3,IF('BL-2'!D23="ü",4,IF('BL-2'!D24="ü",5,0)))))</f>
        <v>4</v>
      </c>
      <c r="H23" s="247">
        <f>IF('BL-2'!E20="ü",1,IF('BL-2'!E21="ü",2,IF('BL-2'!E22="ü",3,IF('BL-2'!E23="ü",4,IF('BL-2'!E24="ü",5,0)))))</f>
        <v>4</v>
      </c>
      <c r="I23" s="247">
        <f>IF('BL-2'!F20="ü",1,IF('BL-2'!F21="ü",2,IF('BL-2'!F22="ü",3,IF('BL-2'!F23="ü",4,IF('BL-2'!F24="ü",5,0)))))</f>
        <v>5</v>
      </c>
      <c r="J23" s="247">
        <f>IF('BL-2'!G20="ü",1,IF('BL-2'!G21="ü",2,IF('BL-2'!G22="ü",3,IF('BL-2'!G23="ü",4,IF('BL-2'!G24="ü",5,0)))))</f>
        <v>5</v>
      </c>
      <c r="K23" s="247">
        <f>IF('BL-2'!H20="ü",1,IF('BL-2'!H21="ü",2,IF('BL-2'!H22="ü",3,IF('BL-2'!H23="ü",4,IF('BL-2'!H24="ü",5,0)))))</f>
        <v>3</v>
      </c>
      <c r="L23" s="247">
        <f>IF('BL-2'!I20="ü",1,IF('BL-2'!I21="ü",2,IF('BL-2'!I22="ü",3,IF('BL-2'!I23="ü",4,IF('BL-2'!I24="ü",5,0)))))</f>
        <v>4</v>
      </c>
      <c r="M23" s="247">
        <f>IF('BL-2'!J20="ü",1,IF('BL-2'!J21="ü",2,IF('BL-2'!J22="ü",3,IF('BL-2'!J23="ü",4,IF('BL-2'!J24="ü",5,0)))))</f>
        <v>4</v>
      </c>
      <c r="N23" s="247">
        <f>IF('BL-2'!K20="ü",1,IF('BL-2'!K21="ü",2,IF('BL-2'!K22="ü",3,IF('BL-2'!K23="ü",4,IF('BL-2'!K24="ü",5,0)))))</f>
        <v>5</v>
      </c>
      <c r="O23" s="247">
        <f>IF('BL-2'!L20="ü",1,IF('BL-2'!L21="ü",2,IF('BL-2'!L22="ü",3,IF('BL-2'!L23="ü",4,IF('BL-2'!L24="ü",5,0)))))</f>
        <v>5</v>
      </c>
      <c r="P23" s="387"/>
      <c r="Q23" s="388"/>
      <c r="R23" s="387"/>
      <c r="S23" s="388"/>
      <c r="T23" s="387"/>
      <c r="U23" s="388"/>
      <c r="V23" s="387"/>
      <c r="W23" s="388"/>
      <c r="X23" s="387"/>
      <c r="Y23" s="388"/>
      <c r="Z23" s="387"/>
      <c r="AA23" s="388"/>
    </row>
    <row r="24" spans="2:27" ht="15.75" x14ac:dyDescent="0.25">
      <c r="B24" s="259"/>
      <c r="C24" s="259"/>
      <c r="D24" s="260"/>
      <c r="E24" s="246" t="s">
        <v>29</v>
      </c>
      <c r="F24" s="248" t="str">
        <f>IF('BL-2'!C25="ü","L1",IF('BL-2'!C26="ü","L2",IF('BL-2'!C27="ü","L3",IF('BL-2'!C28="ü","L4",IF('BL-2'!C29="ü","L5","L6")))))</f>
        <v>L2</v>
      </c>
      <c r="G24" s="248" t="str">
        <f>IF('BL-2'!D25="ü","L1",IF('BL-2'!D26="ü","L2",IF('BL-2'!D27="ü","L3",IF('BL-2'!D28="ü","L4",IF('BL-2'!D29="ü","L5","L6")))))</f>
        <v>L4</v>
      </c>
      <c r="H24" s="248" t="str">
        <f>IF('BL-2'!E25="ü","L1",IF('BL-2'!E26="ü","L2",IF('BL-2'!E27="ü","L3",IF('BL-2'!E28="ü","L4",IF('BL-2'!E29="ü","L5","L6")))))</f>
        <v>L1</v>
      </c>
      <c r="I24" s="248" t="str">
        <f>IF('BL-2'!F25="ü","L1",IF('BL-2'!F26="ü","L2",IF('BL-2'!F27="ü","L3",IF('BL-2'!F28="ü","L4",IF('BL-2'!F29="ü","L5","L6")))))</f>
        <v>L2</v>
      </c>
      <c r="J24" s="262" t="str">
        <f>IF('BL-2'!G25="ü","L1",IF('BL-2'!G26="ü","L2",IF('BL-2'!G27="ü","L3",IF('BL-2'!G28="ü","L4",IF('BL-2'!G29="ü","L5","L6")))))</f>
        <v>L2</v>
      </c>
      <c r="K24" s="263" t="str">
        <f>IF('BL-2'!H25="ü","L1",IF('BL-2'!H26="ü","L2",IF('BL-2'!H27="ü","L3",IF('BL-2'!H28="ü","L4",IF('BL-2'!H29="ü","L5","L6")))))</f>
        <v>L2</v>
      </c>
      <c r="L24" s="264" t="str">
        <f>IF('BL-2'!I25="ü","L1",IF('BL-2'!I26="ü","L2",IF('BL-2'!I27="ü","L3",IF('BL-2'!I28="ü","L4",IF('BL-2'!I29="ü","L5","L6")))))</f>
        <v>L2</v>
      </c>
      <c r="M24" s="248" t="str">
        <f>IF('BL-2'!J25="ü","L1",IF('BL-2'!J26="ü","L2",IF('BL-2'!J27="ü","L3",IF('BL-2'!J28="ü","L4",IF('BL-2'!J29="ü","L5","L6")))))</f>
        <v>L4</v>
      </c>
      <c r="N24" s="248" t="str">
        <f>IF('BL-2'!K25="ü","L1",IF('BL-2'!K26="ü","L2",IF('BL-2'!K27="ü","L3",IF('BL-2'!K28="ü","L4",IF('BL-2'!K29="ü","L5","L6")))))</f>
        <v>L2</v>
      </c>
      <c r="O24" s="248" t="str">
        <f>IF('BL-2'!L25="ü","L1",IF('BL-2'!L26="ü","L2",IF('BL-2'!L27="ü","L3",IF('BL-2'!L28="ü","L4",IF('BL-2'!L29="ü","L5","L6")))))</f>
        <v>L6</v>
      </c>
      <c r="P24" s="389"/>
      <c r="Q24" s="390"/>
      <c r="R24" s="389"/>
      <c r="S24" s="390"/>
      <c r="T24" s="389"/>
      <c r="U24" s="390"/>
      <c r="V24" s="389"/>
      <c r="W24" s="390"/>
      <c r="X24" s="389"/>
      <c r="Y24" s="390"/>
      <c r="Z24" s="389"/>
      <c r="AA24" s="390"/>
    </row>
    <row r="25" spans="2:27" ht="15.75" x14ac:dyDescent="0.25">
      <c r="B25" s="259"/>
      <c r="C25" s="259"/>
      <c r="D25" s="260"/>
      <c r="E25" s="249" t="s">
        <v>30</v>
      </c>
      <c r="F25" s="249">
        <v>2</v>
      </c>
      <c r="G25" s="249">
        <v>2</v>
      </c>
      <c r="H25" s="249">
        <v>2</v>
      </c>
      <c r="I25" s="249">
        <v>2</v>
      </c>
      <c r="J25" s="249">
        <v>2</v>
      </c>
      <c r="K25" s="249">
        <v>7</v>
      </c>
      <c r="L25" s="249">
        <v>7</v>
      </c>
      <c r="M25" s="249">
        <v>7</v>
      </c>
      <c r="N25" s="249">
        <v>7</v>
      </c>
      <c r="O25" s="249">
        <v>12</v>
      </c>
      <c r="P25" s="250">
        <f>SUMIF('BL-2'!$C$20:$L$20,"*",'IAT-2'!F25:O25)</f>
        <v>0</v>
      </c>
      <c r="Q25" s="250">
        <v>100</v>
      </c>
      <c r="R25" s="250">
        <f>SUMIF('BL-2'!$C$21:$L$21,"*",'IAT-2'!F25:O25)</f>
        <v>0</v>
      </c>
      <c r="S25" s="250">
        <v>100</v>
      </c>
      <c r="T25" s="250">
        <f>SUMIF('BL-2'!$C$22:$L$22,"*",'IAT-2'!F25:O25)</f>
        <v>9</v>
      </c>
      <c r="U25" s="250">
        <v>100</v>
      </c>
      <c r="V25" s="250">
        <f>SUMIF('BL-2'!$C$23:$L$23,"*",'IAT-2'!F25:O25)</f>
        <v>18</v>
      </c>
      <c r="W25" s="250">
        <v>100</v>
      </c>
      <c r="X25" s="250">
        <f>SUMIF('BL-2'!$C$24:$L$24,"*",'IAT-2'!F25:O25)</f>
        <v>23</v>
      </c>
      <c r="Y25" s="250">
        <v>100</v>
      </c>
      <c r="Z25" s="250">
        <v>50</v>
      </c>
      <c r="AA25" s="250">
        <f>Z25*2</f>
        <v>100</v>
      </c>
    </row>
    <row r="26" spans="2:27" x14ac:dyDescent="0.25">
      <c r="B26" s="265">
        <v>1</v>
      </c>
      <c r="C26" s="266">
        <f>'IAT-1'!C26</f>
        <v>951323243001</v>
      </c>
      <c r="D26" s="267" t="str">
        <f>'IAT-1'!D26</f>
        <v>ABINAYA S</v>
      </c>
      <c r="E26" s="252"/>
      <c r="F26" s="253">
        <f>'I2'!D15</f>
        <v>2</v>
      </c>
      <c r="G26" s="268">
        <f>'I2'!E15</f>
        <v>1</v>
      </c>
      <c r="H26" s="268">
        <f>'I2'!F15</f>
        <v>0</v>
      </c>
      <c r="I26" s="268">
        <f>'I2'!G15</f>
        <v>1</v>
      </c>
      <c r="J26" s="268">
        <f>'I2'!H15</f>
        <v>0</v>
      </c>
      <c r="K26" s="254">
        <f>'I2'!I15+'I2'!J15</f>
        <v>6</v>
      </c>
      <c r="L26" s="254">
        <f>'I2'!K15+'I2'!L15</f>
        <v>5</v>
      </c>
      <c r="M26" s="254">
        <f>'I2'!M15+'I2'!N15</f>
        <v>0</v>
      </c>
      <c r="N26" s="254">
        <f>'I2'!O15+'I2'!P15</f>
        <v>0</v>
      </c>
      <c r="O26" s="254">
        <f>'I2'!Q15+'I2'!R15</f>
        <v>11</v>
      </c>
      <c r="P26" s="250">
        <f>SUMIF('BL-2'!$C$20:$L$20,"*",'IAT-2'!F26:O26)</f>
        <v>0</v>
      </c>
      <c r="Q26" s="269">
        <f>ROUND(IFERROR(P26/P$25,0)*100,1)</f>
        <v>0</v>
      </c>
      <c r="R26" s="250">
        <f>SUMIF('BL-2'!$C$21:$L$21,"*",'IAT-2'!F26:O26)</f>
        <v>0</v>
      </c>
      <c r="S26" s="270">
        <f>ROUND(IFERROR(R26/R$25,0)*100,1)</f>
        <v>0</v>
      </c>
      <c r="T26" s="250">
        <f>SUMIF('BL-2'!$C$22:$L$22,"*",'IAT-2'!F26:O26)</f>
        <v>8</v>
      </c>
      <c r="U26" s="270">
        <f>ROUND(IFERROR(T26/T$25,0)*100,1)</f>
        <v>88.9</v>
      </c>
      <c r="V26" s="250">
        <f>SUMIF('BL-2'!$C$23:$L$23,"ü",'IAT-2'!F26:O26)</f>
        <v>6</v>
      </c>
      <c r="W26" s="270">
        <f>ROUND(IFERROR(V26/V$25,0)*100,1)</f>
        <v>33.299999999999997</v>
      </c>
      <c r="X26" s="250">
        <f>SUMIF('BL-2'!$C$24:$L$24,"*",'IAT-2'!F26:O26)</f>
        <v>12</v>
      </c>
      <c r="Y26" s="254">
        <f>ROUND(IFERROR(X26/X$25,0)*100,1)</f>
        <v>52.2</v>
      </c>
      <c r="Z26" s="256">
        <f>SUM(P26,R26,T26,V26,X26)</f>
        <v>26</v>
      </c>
      <c r="AA26" s="256">
        <f>Z26*2</f>
        <v>52</v>
      </c>
    </row>
    <row r="27" spans="2:27" x14ac:dyDescent="0.25">
      <c r="B27" s="265">
        <v>2</v>
      </c>
      <c r="C27" s="266">
        <f>'IAT-1'!C27</f>
        <v>951323243002</v>
      </c>
      <c r="D27" s="267" t="str">
        <f>'IAT-1'!D27</f>
        <v>ABISHEK S</v>
      </c>
      <c r="E27" s="252"/>
      <c r="F27" s="253">
        <f>'I2'!D16</f>
        <v>0</v>
      </c>
      <c r="G27" s="268">
        <f>'I2'!E16</f>
        <v>0</v>
      </c>
      <c r="H27" s="268">
        <f>'I2'!F16</f>
        <v>0</v>
      </c>
      <c r="I27" s="268">
        <f>'I2'!G16</f>
        <v>0</v>
      </c>
      <c r="J27" s="268">
        <f>'I2'!H16</f>
        <v>0</v>
      </c>
      <c r="K27" s="254">
        <f>'I2'!I16+'I2'!J16</f>
        <v>0</v>
      </c>
      <c r="L27" s="254">
        <f>'I2'!K16+'I2'!L16</f>
        <v>0</v>
      </c>
      <c r="M27" s="254">
        <f>'I2'!M16+'I2'!N16</f>
        <v>0</v>
      </c>
      <c r="N27" s="254">
        <f>'I2'!O16+'I2'!P16</f>
        <v>0</v>
      </c>
      <c r="O27" s="254">
        <f>'I2'!Q16+'I2'!R16</f>
        <v>0</v>
      </c>
      <c r="P27" s="250">
        <f>SUMIF('BL-2'!$C$20:$L$20,"*",'IAT-2'!F27:O27)</f>
        <v>0</v>
      </c>
      <c r="Q27" s="269">
        <f t="shared" ref="Q27:Q82" si="0">ROUND(IFERROR(P27/P$25,0)*100,1)</f>
        <v>0</v>
      </c>
      <c r="R27" s="250">
        <f>SUMIF('BL-2'!$C$21:$L$21,"*",'IAT-2'!F27:O27)</f>
        <v>0</v>
      </c>
      <c r="S27" s="270">
        <f t="shared" ref="S27:S82" si="1">ROUND(IFERROR(R27/R$25,0)*100,1)</f>
        <v>0</v>
      </c>
      <c r="T27" s="250">
        <f>SUMIF('BL-2'!$C$22:$L$22,"*",'IAT-2'!F27:O27)</f>
        <v>0</v>
      </c>
      <c r="U27" s="270">
        <f t="shared" ref="U27:U82" si="2">ROUND(IFERROR(T27/T$25,0)*100,1)</f>
        <v>0</v>
      </c>
      <c r="V27" s="250">
        <f>SUMIF('BL-2'!$C$23:$L$23,"ü",'IAT-2'!F27:O27)</f>
        <v>0</v>
      </c>
      <c r="W27" s="270">
        <f t="shared" ref="W27:W82" si="3">ROUND(IFERROR(V27/V$25,0)*100,1)</f>
        <v>0</v>
      </c>
      <c r="X27" s="250">
        <f>SUMIF('BL-2'!$C$24:$L$24,"*",'IAT-2'!F27:O27)</f>
        <v>0</v>
      </c>
      <c r="Y27" s="254">
        <f t="shared" ref="Y27:Y82" si="4">ROUND(IFERROR(X27/X$25,0)*100,1)</f>
        <v>0</v>
      </c>
      <c r="Z27" s="4">
        <f t="shared" ref="Z27:Z82" si="5">SUM(P27,R27,T27,V27,X27)</f>
        <v>0</v>
      </c>
      <c r="AA27" s="4">
        <f t="shared" ref="AA27:AA82" si="6">Z27*2</f>
        <v>0</v>
      </c>
    </row>
    <row r="28" spans="2:27" ht="15" customHeight="1" x14ac:dyDescent="0.25">
      <c r="B28" s="265">
        <v>3</v>
      </c>
      <c r="C28" s="266">
        <f>'IAT-1'!C28</f>
        <v>951323243003</v>
      </c>
      <c r="D28" s="267" t="str">
        <f>'IAT-1'!D28</f>
        <v>AJEETHA S</v>
      </c>
      <c r="E28" s="252"/>
      <c r="F28" s="253">
        <f>'I2'!D17</f>
        <v>0</v>
      </c>
      <c r="G28" s="268">
        <f>'I2'!E17</f>
        <v>0</v>
      </c>
      <c r="H28" s="268">
        <f>'I2'!F17</f>
        <v>0</v>
      </c>
      <c r="I28" s="268">
        <f>'I2'!G17</f>
        <v>0</v>
      </c>
      <c r="J28" s="268">
        <f>'I2'!H17</f>
        <v>0</v>
      </c>
      <c r="K28" s="254">
        <f>'I2'!I17+'I2'!J17</f>
        <v>0</v>
      </c>
      <c r="L28" s="254">
        <f>'I2'!K17+'I2'!L17</f>
        <v>0</v>
      </c>
      <c r="M28" s="254">
        <f>'I2'!M17+'I2'!N17</f>
        <v>0</v>
      </c>
      <c r="N28" s="254">
        <f>'I2'!O17+'I2'!P17</f>
        <v>0</v>
      </c>
      <c r="O28" s="254">
        <f>'I2'!Q17+'I2'!R17</f>
        <v>0</v>
      </c>
      <c r="P28" s="250">
        <f>SUMIF('BL-2'!$C$20:$L$20,"*",'IAT-2'!F28:O28)</f>
        <v>0</v>
      </c>
      <c r="Q28" s="269">
        <f t="shared" si="0"/>
        <v>0</v>
      </c>
      <c r="R28" s="250">
        <f>SUMIF('BL-2'!$C$21:$L$21,"*",'IAT-2'!F28:O28)</f>
        <v>0</v>
      </c>
      <c r="S28" s="270">
        <f t="shared" si="1"/>
        <v>0</v>
      </c>
      <c r="T28" s="250">
        <f>SUMIF('BL-2'!$C$22:$L$22,"*",'IAT-2'!F28:O28)</f>
        <v>0</v>
      </c>
      <c r="U28" s="270">
        <f t="shared" si="2"/>
        <v>0</v>
      </c>
      <c r="V28" s="250">
        <f>SUMIF('BL-2'!$C$23:$L$23,"ü",'IAT-2'!F28:O28)</f>
        <v>0</v>
      </c>
      <c r="W28" s="270">
        <f t="shared" si="3"/>
        <v>0</v>
      </c>
      <c r="X28" s="250">
        <f>SUMIF('BL-2'!$C$24:$L$24,"*",'IAT-2'!F28:O28)</f>
        <v>0</v>
      </c>
      <c r="Y28" s="254">
        <f t="shared" si="4"/>
        <v>0</v>
      </c>
      <c r="Z28" s="4">
        <f t="shared" si="5"/>
        <v>0</v>
      </c>
      <c r="AA28" s="4">
        <f t="shared" si="6"/>
        <v>0</v>
      </c>
    </row>
    <row r="29" spans="2:27" ht="15" customHeight="1" x14ac:dyDescent="0.25">
      <c r="B29" s="265">
        <v>4</v>
      </c>
      <c r="C29" s="266">
        <f>'IAT-1'!C29</f>
        <v>951323243004</v>
      </c>
      <c r="D29" s="267" t="str">
        <f>'IAT-1'!D29</f>
        <v>AJIM FAYAZ K M S</v>
      </c>
      <c r="E29" s="252"/>
      <c r="F29" s="253">
        <f>'I2'!D18</f>
        <v>2</v>
      </c>
      <c r="G29" s="268">
        <f>'I2'!E18</f>
        <v>2</v>
      </c>
      <c r="H29" s="268">
        <f>'I2'!F18</f>
        <v>2</v>
      </c>
      <c r="I29" s="268">
        <f>'I2'!G18</f>
        <v>2</v>
      </c>
      <c r="J29" s="268">
        <f>'I2'!H18</f>
        <v>2</v>
      </c>
      <c r="K29" s="254">
        <f>'I2'!I18+'I2'!J18</f>
        <v>0</v>
      </c>
      <c r="L29" s="254">
        <f>'I2'!K18+'I2'!L18</f>
        <v>0</v>
      </c>
      <c r="M29" s="254">
        <f>'I2'!M18+'I2'!N18</f>
        <v>0</v>
      </c>
      <c r="N29" s="254">
        <f>'I2'!O18+'I2'!P18</f>
        <v>4</v>
      </c>
      <c r="O29" s="254">
        <f>'I2'!Q18+'I2'!R18</f>
        <v>0</v>
      </c>
      <c r="P29" s="250">
        <f>SUMIF('BL-2'!$C$20:$L$20,"*",'IAT-2'!F29:O29)</f>
        <v>0</v>
      </c>
      <c r="Q29" s="269">
        <f t="shared" si="0"/>
        <v>0</v>
      </c>
      <c r="R29" s="250">
        <f>SUMIF('BL-2'!$C$21:$L$21,"*",'IAT-2'!F29:O29)</f>
        <v>0</v>
      </c>
      <c r="S29" s="270">
        <f t="shared" si="1"/>
        <v>0</v>
      </c>
      <c r="T29" s="250">
        <f>SUMIF('BL-2'!$C$22:$L$22,"*",'IAT-2'!F29:O29)</f>
        <v>2</v>
      </c>
      <c r="U29" s="270">
        <f t="shared" si="2"/>
        <v>22.2</v>
      </c>
      <c r="V29" s="250">
        <f>SUMIF('BL-2'!$C$23:$L$23,"ü",'IAT-2'!F29:O29)</f>
        <v>4</v>
      </c>
      <c r="W29" s="270">
        <f t="shared" si="3"/>
        <v>22.2</v>
      </c>
      <c r="X29" s="250">
        <f>SUMIF('BL-2'!$C$24:$L$24,"*",'IAT-2'!F29:O29)</f>
        <v>8</v>
      </c>
      <c r="Y29" s="254">
        <f t="shared" si="4"/>
        <v>34.799999999999997</v>
      </c>
      <c r="Z29" s="4">
        <f t="shared" si="5"/>
        <v>14</v>
      </c>
      <c r="AA29" s="4">
        <f t="shared" si="6"/>
        <v>28</v>
      </c>
    </row>
    <row r="30" spans="2:27" ht="15" customHeight="1" x14ac:dyDescent="0.25">
      <c r="B30" s="265">
        <v>5</v>
      </c>
      <c r="C30" s="266">
        <f>'IAT-1'!C30</f>
        <v>951323243005</v>
      </c>
      <c r="D30" s="267" t="str">
        <f>'IAT-1'!D30</f>
        <v>ALPHONES CRUZ NAVEEN J</v>
      </c>
      <c r="E30" s="252"/>
      <c r="F30" s="253">
        <f>'I2'!D19</f>
        <v>1</v>
      </c>
      <c r="G30" s="268">
        <f>'I2'!E19</f>
        <v>2</v>
      </c>
      <c r="H30" s="268">
        <f>'I2'!F19</f>
        <v>2</v>
      </c>
      <c r="I30" s="268">
        <f>'I2'!G19</f>
        <v>2</v>
      </c>
      <c r="J30" s="268">
        <f>'I2'!H19</f>
        <v>1</v>
      </c>
      <c r="K30" s="254">
        <f>'I2'!I19+'I2'!J19</f>
        <v>6</v>
      </c>
      <c r="L30" s="254">
        <f>'I2'!K19+'I2'!L19</f>
        <v>0</v>
      </c>
      <c r="M30" s="254">
        <f>'I2'!M19+'I2'!N19</f>
        <v>0</v>
      </c>
      <c r="N30" s="254">
        <f>'I2'!O19+'I2'!P19</f>
        <v>0</v>
      </c>
      <c r="O30" s="254">
        <f>'I2'!Q19+'I2'!R19</f>
        <v>0</v>
      </c>
      <c r="P30" s="250">
        <f>SUMIF('BL-2'!$C$20:$L$20,"*",'IAT-2'!F30:O30)</f>
        <v>0</v>
      </c>
      <c r="Q30" s="269">
        <f t="shared" si="0"/>
        <v>0</v>
      </c>
      <c r="R30" s="250">
        <f>SUMIF('BL-2'!$C$21:$L$21,"*",'IAT-2'!F30:O30)</f>
        <v>0</v>
      </c>
      <c r="S30" s="270">
        <f t="shared" si="1"/>
        <v>0</v>
      </c>
      <c r="T30" s="250">
        <f>SUMIF('BL-2'!$C$22:$L$22,"*",'IAT-2'!F30:O30)</f>
        <v>7</v>
      </c>
      <c r="U30" s="270">
        <f t="shared" si="2"/>
        <v>77.8</v>
      </c>
      <c r="V30" s="250">
        <f>SUMIF('BL-2'!$C$23:$L$23,"ü",'IAT-2'!F30:O30)</f>
        <v>4</v>
      </c>
      <c r="W30" s="270">
        <f t="shared" si="3"/>
        <v>22.2</v>
      </c>
      <c r="X30" s="250">
        <f>SUMIF('BL-2'!$C$24:$L$24,"*",'IAT-2'!F30:O30)</f>
        <v>3</v>
      </c>
      <c r="Y30" s="254">
        <f t="shared" si="4"/>
        <v>13</v>
      </c>
      <c r="Z30" s="4">
        <f t="shared" si="5"/>
        <v>14</v>
      </c>
      <c r="AA30" s="4">
        <f t="shared" si="6"/>
        <v>28</v>
      </c>
    </row>
    <row r="31" spans="2:27" ht="15" customHeight="1" x14ac:dyDescent="0.25">
      <c r="B31" s="265">
        <v>6</v>
      </c>
      <c r="C31" s="266">
        <f>'IAT-1'!C31</f>
        <v>951323243006</v>
      </c>
      <c r="D31" s="267" t="str">
        <f>'IAT-1'!D31</f>
        <v>ANGEL AGNES D</v>
      </c>
      <c r="E31" s="252"/>
      <c r="F31" s="253">
        <f>'I2'!D20</f>
        <v>2</v>
      </c>
      <c r="G31" s="268">
        <f>'I2'!E20</f>
        <v>1</v>
      </c>
      <c r="H31" s="268">
        <f>'I2'!F20</f>
        <v>2</v>
      </c>
      <c r="I31" s="268">
        <f>'I2'!G20</f>
        <v>2</v>
      </c>
      <c r="J31" s="268">
        <f>'I2'!H20</f>
        <v>1</v>
      </c>
      <c r="K31" s="254">
        <f>'I2'!I20+'I2'!J20</f>
        <v>7</v>
      </c>
      <c r="L31" s="254">
        <f>'I2'!K20+'I2'!L20</f>
        <v>6</v>
      </c>
      <c r="M31" s="254">
        <f>'I2'!M20+'I2'!N20</f>
        <v>5</v>
      </c>
      <c r="N31" s="254">
        <f>'I2'!O20+'I2'!P20</f>
        <v>6</v>
      </c>
      <c r="O31" s="254">
        <f>'I2'!Q20+'I2'!R20</f>
        <v>11</v>
      </c>
      <c r="P31" s="250">
        <f>SUMIF('BL-2'!$C$20:$L$20,"*",'IAT-2'!F31:O31)</f>
        <v>0</v>
      </c>
      <c r="Q31" s="269">
        <f t="shared" si="0"/>
        <v>0</v>
      </c>
      <c r="R31" s="250">
        <f>SUMIF('BL-2'!$C$21:$L$21,"*",'IAT-2'!F31:O31)</f>
        <v>0</v>
      </c>
      <c r="S31" s="270">
        <f t="shared" si="1"/>
        <v>0</v>
      </c>
      <c r="T31" s="250">
        <f>SUMIF('BL-2'!$C$22:$L$22,"*",'IAT-2'!F31:O31)</f>
        <v>9</v>
      </c>
      <c r="U31" s="270">
        <f t="shared" si="2"/>
        <v>100</v>
      </c>
      <c r="V31" s="250">
        <f>SUMIF('BL-2'!$C$23:$L$23,"ü",'IAT-2'!F31:O31)</f>
        <v>14</v>
      </c>
      <c r="W31" s="270">
        <f t="shared" si="3"/>
        <v>77.8</v>
      </c>
      <c r="X31" s="250">
        <f>SUMIF('BL-2'!$C$24:$L$24,"*",'IAT-2'!F31:O31)</f>
        <v>20</v>
      </c>
      <c r="Y31" s="254">
        <f t="shared" si="4"/>
        <v>87</v>
      </c>
      <c r="Z31" s="4">
        <f t="shared" si="5"/>
        <v>43</v>
      </c>
      <c r="AA31" s="4">
        <f t="shared" si="6"/>
        <v>86</v>
      </c>
    </row>
    <row r="32" spans="2:27" ht="15" customHeight="1" x14ac:dyDescent="0.25">
      <c r="B32" s="265">
        <v>7</v>
      </c>
      <c r="C32" s="266">
        <f>'IAT-1'!C32</f>
        <v>951323243007</v>
      </c>
      <c r="D32" s="267" t="str">
        <f>'IAT-1'!D32</f>
        <v>ANUSHA P</v>
      </c>
      <c r="E32" s="252"/>
      <c r="F32" s="253">
        <f>'I2'!D21</f>
        <v>2</v>
      </c>
      <c r="G32" s="268">
        <f>'I2'!E21</f>
        <v>1</v>
      </c>
      <c r="H32" s="268">
        <f>'I2'!F21</f>
        <v>2</v>
      </c>
      <c r="I32" s="268">
        <f>'I2'!G21</f>
        <v>2</v>
      </c>
      <c r="J32" s="268">
        <f>'I2'!H21</f>
        <v>2</v>
      </c>
      <c r="K32" s="254">
        <f>'I2'!I21+'I2'!J21</f>
        <v>7</v>
      </c>
      <c r="L32" s="254">
        <f>'I2'!K21+'I2'!L21</f>
        <v>7</v>
      </c>
      <c r="M32" s="254">
        <f>'I2'!M21+'I2'!N21</f>
        <v>7</v>
      </c>
      <c r="N32" s="254">
        <f>'I2'!O21+'I2'!P21</f>
        <v>7</v>
      </c>
      <c r="O32" s="254">
        <f>'I2'!Q21+'I2'!R21</f>
        <v>12</v>
      </c>
      <c r="P32" s="250">
        <f>SUMIF('BL-2'!$C$20:$L$20,"*",'IAT-2'!F32:O32)</f>
        <v>0</v>
      </c>
      <c r="Q32" s="269">
        <f t="shared" si="0"/>
        <v>0</v>
      </c>
      <c r="R32" s="250">
        <f>SUMIF('BL-2'!$C$21:$L$21,"*",'IAT-2'!F32:O32)</f>
        <v>0</v>
      </c>
      <c r="S32" s="270">
        <f t="shared" si="1"/>
        <v>0</v>
      </c>
      <c r="T32" s="250">
        <f>SUMIF('BL-2'!$C$22:$L$22,"*",'IAT-2'!F32:O32)</f>
        <v>9</v>
      </c>
      <c r="U32" s="270">
        <f t="shared" si="2"/>
        <v>100</v>
      </c>
      <c r="V32" s="250">
        <f>SUMIF('BL-2'!$C$23:$L$23,"ü",'IAT-2'!F32:O32)</f>
        <v>17</v>
      </c>
      <c r="W32" s="270">
        <f t="shared" si="3"/>
        <v>94.4</v>
      </c>
      <c r="X32" s="250">
        <f>SUMIF('BL-2'!$C$24:$L$24,"*",'IAT-2'!F32:O32)</f>
        <v>23</v>
      </c>
      <c r="Y32" s="254">
        <f t="shared" si="4"/>
        <v>100</v>
      </c>
      <c r="Z32" s="4">
        <f t="shared" si="5"/>
        <v>49</v>
      </c>
      <c r="AA32" s="4">
        <f t="shared" si="6"/>
        <v>98</v>
      </c>
    </row>
    <row r="33" spans="2:27" ht="15" customHeight="1" x14ac:dyDescent="0.25">
      <c r="B33" s="265">
        <v>8</v>
      </c>
      <c r="C33" s="266">
        <f>'IAT-1'!C33</f>
        <v>951323243008</v>
      </c>
      <c r="D33" s="267" t="str">
        <f>'IAT-1'!D33</f>
        <v>ARIBA M</v>
      </c>
      <c r="E33" s="252"/>
      <c r="F33" s="253">
        <f>'I2'!D22</f>
        <v>1</v>
      </c>
      <c r="G33" s="268">
        <f>'I2'!E22</f>
        <v>0</v>
      </c>
      <c r="H33" s="268">
        <f>'I2'!F22</f>
        <v>0</v>
      </c>
      <c r="I33" s="268">
        <f>'I2'!G22</f>
        <v>1</v>
      </c>
      <c r="J33" s="268">
        <f>'I2'!H22</f>
        <v>1</v>
      </c>
      <c r="K33" s="254">
        <f>'I2'!I22+'I2'!J22</f>
        <v>5</v>
      </c>
      <c r="L33" s="254">
        <f>'I2'!K22+'I2'!L22</f>
        <v>7</v>
      </c>
      <c r="M33" s="254">
        <f>'I2'!M22+'I2'!N22</f>
        <v>0</v>
      </c>
      <c r="N33" s="254">
        <f>'I2'!O22+'I2'!P22</f>
        <v>7</v>
      </c>
      <c r="O33" s="254">
        <f>'I2'!Q22+'I2'!R22</f>
        <v>12</v>
      </c>
      <c r="P33" s="250">
        <f>SUMIF('BL-2'!$C$20:$L$20,"*",'IAT-2'!F33:O33)</f>
        <v>0</v>
      </c>
      <c r="Q33" s="269">
        <f t="shared" si="0"/>
        <v>0</v>
      </c>
      <c r="R33" s="250">
        <f>SUMIF('BL-2'!$C$21:$L$21,"*",'IAT-2'!F33:O33)</f>
        <v>0</v>
      </c>
      <c r="S33" s="270">
        <f t="shared" si="1"/>
        <v>0</v>
      </c>
      <c r="T33" s="250">
        <f>SUMIF('BL-2'!$C$22:$L$22,"*",'IAT-2'!F33:O33)</f>
        <v>6</v>
      </c>
      <c r="U33" s="270">
        <f t="shared" si="2"/>
        <v>66.7</v>
      </c>
      <c r="V33" s="250">
        <f>SUMIF('BL-2'!$C$23:$L$23,"ü",'IAT-2'!F33:O33)</f>
        <v>7</v>
      </c>
      <c r="W33" s="270">
        <f t="shared" si="3"/>
        <v>38.9</v>
      </c>
      <c r="X33" s="250">
        <f>SUMIF('BL-2'!$C$24:$L$24,"*",'IAT-2'!F33:O33)</f>
        <v>21</v>
      </c>
      <c r="Y33" s="254">
        <f t="shared" si="4"/>
        <v>91.3</v>
      </c>
      <c r="Z33" s="4">
        <f t="shared" si="5"/>
        <v>34</v>
      </c>
      <c r="AA33" s="4">
        <f t="shared" si="6"/>
        <v>68</v>
      </c>
    </row>
    <row r="34" spans="2:27" x14ac:dyDescent="0.25">
      <c r="B34" s="265">
        <v>9</v>
      </c>
      <c r="C34" s="266">
        <f>'IAT-1'!C34</f>
        <v>951323243009</v>
      </c>
      <c r="D34" s="267" t="str">
        <f>'IAT-1'!D34</f>
        <v>BALADHARSHINI S</v>
      </c>
      <c r="E34" s="252"/>
      <c r="F34" s="253">
        <f>'I2'!D23</f>
        <v>1</v>
      </c>
      <c r="G34" s="268">
        <f>'I2'!E23</f>
        <v>1</v>
      </c>
      <c r="H34" s="268">
        <f>'I2'!F23</f>
        <v>2</v>
      </c>
      <c r="I34" s="268">
        <f>'I2'!G23</f>
        <v>2</v>
      </c>
      <c r="J34" s="268">
        <f>'I2'!H23</f>
        <v>1</v>
      </c>
      <c r="K34" s="254">
        <f>'I2'!I23+'I2'!J23</f>
        <v>6</v>
      </c>
      <c r="L34" s="254">
        <f>'I2'!K23+'I2'!L23</f>
        <v>6</v>
      </c>
      <c r="M34" s="254">
        <f>'I2'!M23+'I2'!N23</f>
        <v>6</v>
      </c>
      <c r="N34" s="254">
        <f>'I2'!O23+'I2'!P23</f>
        <v>6</v>
      </c>
      <c r="O34" s="254">
        <f>'I2'!Q23+'I2'!R23</f>
        <v>11</v>
      </c>
      <c r="P34" s="250">
        <f>SUMIF('BL-2'!$C$20:$L$20,"*",'IAT-2'!F34:O34)</f>
        <v>0</v>
      </c>
      <c r="Q34" s="269">
        <f t="shared" si="0"/>
        <v>0</v>
      </c>
      <c r="R34" s="250">
        <f>SUMIF('BL-2'!$C$21:$L$21,"*",'IAT-2'!F34:O34)</f>
        <v>0</v>
      </c>
      <c r="S34" s="270">
        <f t="shared" si="1"/>
        <v>0</v>
      </c>
      <c r="T34" s="250">
        <f>SUMIF('BL-2'!$C$22:$L$22,"*",'IAT-2'!F34:O34)</f>
        <v>7</v>
      </c>
      <c r="U34" s="270">
        <f t="shared" si="2"/>
        <v>77.8</v>
      </c>
      <c r="V34" s="250">
        <f>SUMIF('BL-2'!$C$23:$L$23,"ü",'IAT-2'!F34:O34)</f>
        <v>15</v>
      </c>
      <c r="W34" s="270">
        <f t="shared" si="3"/>
        <v>83.3</v>
      </c>
      <c r="X34" s="250">
        <f>SUMIF('BL-2'!$C$24:$L$24,"*",'IAT-2'!F34:O34)</f>
        <v>20</v>
      </c>
      <c r="Y34" s="254">
        <f t="shared" si="4"/>
        <v>87</v>
      </c>
      <c r="Z34" s="4">
        <f t="shared" si="5"/>
        <v>42</v>
      </c>
      <c r="AA34" s="4">
        <f t="shared" si="6"/>
        <v>84</v>
      </c>
    </row>
    <row r="35" spans="2:27" x14ac:dyDescent="0.25">
      <c r="B35" s="265">
        <v>10</v>
      </c>
      <c r="C35" s="266">
        <f>'IAT-1'!C35</f>
        <v>951323243010</v>
      </c>
      <c r="D35" s="267" t="str">
        <f>'IAT-1'!D35</f>
        <v>BALASANKAR AYYAPPAN M</v>
      </c>
      <c r="E35" s="252"/>
      <c r="F35" s="253">
        <f>'I2'!D24</f>
        <v>2</v>
      </c>
      <c r="G35" s="268">
        <f>'I2'!E24</f>
        <v>2</v>
      </c>
      <c r="H35" s="268">
        <f>'I2'!F24</f>
        <v>1</v>
      </c>
      <c r="I35" s="268">
        <f>'I2'!G24</f>
        <v>2</v>
      </c>
      <c r="J35" s="268">
        <f>'I2'!H24</f>
        <v>2</v>
      </c>
      <c r="K35" s="254">
        <f>'I2'!I24+'I2'!J24</f>
        <v>4</v>
      </c>
      <c r="L35" s="254">
        <f>'I2'!K24+'I2'!L24</f>
        <v>2</v>
      </c>
      <c r="M35" s="254">
        <f>'I2'!M24+'I2'!N24</f>
        <v>6</v>
      </c>
      <c r="N35" s="254">
        <f>'I2'!O24+'I2'!P24</f>
        <v>7</v>
      </c>
      <c r="O35" s="254">
        <f>'I2'!Q24+'I2'!R24</f>
        <v>11</v>
      </c>
      <c r="P35" s="250">
        <f>SUMIF('BL-2'!$C$20:$L$20,"*",'IAT-2'!F35:O35)</f>
        <v>0</v>
      </c>
      <c r="Q35" s="269">
        <f t="shared" si="0"/>
        <v>0</v>
      </c>
      <c r="R35" s="250">
        <f>SUMIF('BL-2'!$C$21:$L$21,"*",'IAT-2'!F35:O35)</f>
        <v>0</v>
      </c>
      <c r="S35" s="270">
        <f t="shared" si="1"/>
        <v>0</v>
      </c>
      <c r="T35" s="250">
        <f>SUMIF('BL-2'!$C$22:$L$22,"*",'IAT-2'!F35:O35)</f>
        <v>6</v>
      </c>
      <c r="U35" s="270">
        <f t="shared" si="2"/>
        <v>66.7</v>
      </c>
      <c r="V35" s="250">
        <f>SUMIF('BL-2'!$C$23:$L$23,"ü",'IAT-2'!F35:O35)</f>
        <v>11</v>
      </c>
      <c r="W35" s="270">
        <f t="shared" si="3"/>
        <v>61.1</v>
      </c>
      <c r="X35" s="250">
        <f>SUMIF('BL-2'!$C$24:$L$24,"*",'IAT-2'!F35:O35)</f>
        <v>22</v>
      </c>
      <c r="Y35" s="254">
        <f t="shared" si="4"/>
        <v>95.7</v>
      </c>
      <c r="Z35" s="4">
        <f t="shared" si="5"/>
        <v>39</v>
      </c>
      <c r="AA35" s="4">
        <f t="shared" si="6"/>
        <v>78</v>
      </c>
    </row>
    <row r="36" spans="2:27" x14ac:dyDescent="0.25">
      <c r="B36" s="265">
        <v>11</v>
      </c>
      <c r="C36" s="266">
        <f>'IAT-1'!C36</f>
        <v>951323243011</v>
      </c>
      <c r="D36" s="267" t="str">
        <f>'IAT-1'!D36</f>
        <v>BALA SRI RAM G</v>
      </c>
      <c r="E36" s="252"/>
      <c r="F36" s="253">
        <f>'I2'!D25</f>
        <v>2</v>
      </c>
      <c r="G36" s="268">
        <f>'I2'!E25</f>
        <v>1</v>
      </c>
      <c r="H36" s="268">
        <f>'I2'!F25</f>
        <v>2</v>
      </c>
      <c r="I36" s="268">
        <f>'I2'!G25</f>
        <v>1</v>
      </c>
      <c r="J36" s="268">
        <f>'I2'!H25</f>
        <v>2</v>
      </c>
      <c r="K36" s="254">
        <f>'I2'!I25+'I2'!J25</f>
        <v>0</v>
      </c>
      <c r="L36" s="254">
        <f>'I2'!K25+'I2'!L25</f>
        <v>0</v>
      </c>
      <c r="M36" s="254">
        <f>'I2'!M25+'I2'!N25</f>
        <v>0</v>
      </c>
      <c r="N36" s="254">
        <f>'I2'!O25+'I2'!P25</f>
        <v>0</v>
      </c>
      <c r="O36" s="254">
        <f>'I2'!Q25+'I2'!R25</f>
        <v>11</v>
      </c>
      <c r="P36" s="250">
        <f>SUMIF('BL-2'!$C$20:$L$20,"*",'IAT-2'!F36:O36)</f>
        <v>0</v>
      </c>
      <c r="Q36" s="269">
        <f t="shared" si="0"/>
        <v>0</v>
      </c>
      <c r="R36" s="250">
        <f>SUMIF('BL-2'!$C$21:$L$21,"*",'IAT-2'!F36:O36)</f>
        <v>0</v>
      </c>
      <c r="S36" s="270">
        <f t="shared" si="1"/>
        <v>0</v>
      </c>
      <c r="T36" s="250">
        <f>SUMIF('BL-2'!$C$22:$L$22,"*",'IAT-2'!F36:O36)</f>
        <v>2</v>
      </c>
      <c r="U36" s="270">
        <f t="shared" si="2"/>
        <v>22.2</v>
      </c>
      <c r="V36" s="250">
        <f>SUMIF('BL-2'!$C$23:$L$23,"ü",'IAT-2'!F36:O36)</f>
        <v>3</v>
      </c>
      <c r="W36" s="270">
        <f t="shared" si="3"/>
        <v>16.7</v>
      </c>
      <c r="X36" s="250">
        <f>SUMIF('BL-2'!$C$24:$L$24,"*",'IAT-2'!F36:O36)</f>
        <v>14</v>
      </c>
      <c r="Y36" s="254">
        <f t="shared" si="4"/>
        <v>60.9</v>
      </c>
      <c r="Z36" s="4">
        <f t="shared" si="5"/>
        <v>19</v>
      </c>
      <c r="AA36" s="4">
        <f t="shared" si="6"/>
        <v>38</v>
      </c>
    </row>
    <row r="37" spans="2:27" x14ac:dyDescent="0.25">
      <c r="B37" s="265">
        <v>12</v>
      </c>
      <c r="C37" s="266">
        <f>'IAT-1'!C37</f>
        <v>951323243012</v>
      </c>
      <c r="D37" s="267" t="str">
        <f>'IAT-1'!D37</f>
        <v>BENJAMINE FRANKLIN C</v>
      </c>
      <c r="E37" s="252"/>
      <c r="F37" s="253">
        <f>'I2'!D26</f>
        <v>2</v>
      </c>
      <c r="G37" s="268">
        <f>'I2'!E26</f>
        <v>2</v>
      </c>
      <c r="H37" s="268">
        <f>'I2'!F26</f>
        <v>1</v>
      </c>
      <c r="I37" s="268">
        <f>'I2'!G26</f>
        <v>2</v>
      </c>
      <c r="J37" s="268">
        <f>'I2'!H26</f>
        <v>2</v>
      </c>
      <c r="K37" s="254">
        <f>'I2'!I26+'I2'!J26</f>
        <v>0</v>
      </c>
      <c r="L37" s="254">
        <f>'I2'!K26+'I2'!L26</f>
        <v>2</v>
      </c>
      <c r="M37" s="254">
        <f>'I2'!M26+'I2'!N26</f>
        <v>0</v>
      </c>
      <c r="N37" s="254">
        <f>'I2'!O26+'I2'!P26</f>
        <v>6</v>
      </c>
      <c r="O37" s="254">
        <f>'I2'!Q26+'I2'!R26</f>
        <v>10</v>
      </c>
      <c r="P37" s="250">
        <f>SUMIF('BL-2'!$C$20:$L$20,"*",'IAT-2'!F37:O37)</f>
        <v>0</v>
      </c>
      <c r="Q37" s="269">
        <f t="shared" si="0"/>
        <v>0</v>
      </c>
      <c r="R37" s="250">
        <f>SUMIF('BL-2'!$C$21:$L$21,"*",'IAT-2'!F37:O37)</f>
        <v>0</v>
      </c>
      <c r="S37" s="270">
        <f t="shared" si="1"/>
        <v>0</v>
      </c>
      <c r="T37" s="250">
        <f>SUMIF('BL-2'!$C$22:$L$22,"*",'IAT-2'!F37:O37)</f>
        <v>2</v>
      </c>
      <c r="U37" s="270">
        <f t="shared" si="2"/>
        <v>22.2</v>
      </c>
      <c r="V37" s="250">
        <f>SUMIF('BL-2'!$C$23:$L$23,"ü",'IAT-2'!F37:O37)</f>
        <v>5</v>
      </c>
      <c r="W37" s="270">
        <f t="shared" si="3"/>
        <v>27.8</v>
      </c>
      <c r="X37" s="250">
        <f>SUMIF('BL-2'!$C$24:$L$24,"*",'IAT-2'!F37:O37)</f>
        <v>20</v>
      </c>
      <c r="Y37" s="254">
        <f t="shared" si="4"/>
        <v>87</v>
      </c>
      <c r="Z37" s="4">
        <f t="shared" si="5"/>
        <v>27</v>
      </c>
      <c r="AA37" s="4">
        <f t="shared" si="6"/>
        <v>54</v>
      </c>
    </row>
    <row r="38" spans="2:27" x14ac:dyDescent="0.25">
      <c r="B38" s="265">
        <v>13</v>
      </c>
      <c r="C38" s="266">
        <f>'IAT-1'!C38</f>
        <v>951323243013</v>
      </c>
      <c r="D38" s="267" t="str">
        <f>'IAT-1'!D38</f>
        <v>CATHRINE R</v>
      </c>
      <c r="E38" s="252"/>
      <c r="F38" s="253">
        <f>'I2'!D27</f>
        <v>1</v>
      </c>
      <c r="G38" s="268">
        <f>'I2'!E27</f>
        <v>1</v>
      </c>
      <c r="H38" s="268">
        <f>'I2'!F27</f>
        <v>1</v>
      </c>
      <c r="I38" s="268">
        <f>'I2'!G27</f>
        <v>1</v>
      </c>
      <c r="J38" s="268">
        <f>'I2'!H27</f>
        <v>1</v>
      </c>
      <c r="K38" s="254">
        <f>'I2'!I27+'I2'!J27</f>
        <v>6</v>
      </c>
      <c r="L38" s="254">
        <f>'I2'!K27+'I2'!L27</f>
        <v>6</v>
      </c>
      <c r="M38" s="254">
        <f>'I2'!M27+'I2'!N27</f>
        <v>7</v>
      </c>
      <c r="N38" s="254">
        <f>'I2'!O27+'I2'!P27</f>
        <v>2</v>
      </c>
      <c r="O38" s="254">
        <f>'I2'!Q27+'I2'!R27</f>
        <v>10</v>
      </c>
      <c r="P38" s="250">
        <f>SUMIF('BL-2'!$C$20:$L$20,"*",'IAT-2'!F38:O38)</f>
        <v>0</v>
      </c>
      <c r="Q38" s="269">
        <f t="shared" si="0"/>
        <v>0</v>
      </c>
      <c r="R38" s="250">
        <f>SUMIF('BL-2'!$C$21:$L$21,"*",'IAT-2'!F38:O38)</f>
        <v>0</v>
      </c>
      <c r="S38" s="270">
        <f t="shared" si="1"/>
        <v>0</v>
      </c>
      <c r="T38" s="250">
        <f>SUMIF('BL-2'!$C$22:$L$22,"*",'IAT-2'!F38:O38)</f>
        <v>7</v>
      </c>
      <c r="U38" s="270">
        <f t="shared" si="2"/>
        <v>77.8</v>
      </c>
      <c r="V38" s="250">
        <f>SUMIF('BL-2'!$C$23:$L$23,"ü",'IAT-2'!F38:O38)</f>
        <v>15</v>
      </c>
      <c r="W38" s="270">
        <f t="shared" si="3"/>
        <v>83.3</v>
      </c>
      <c r="X38" s="250">
        <f>SUMIF('BL-2'!$C$24:$L$24,"*",'IAT-2'!F38:O38)</f>
        <v>14</v>
      </c>
      <c r="Y38" s="254">
        <f t="shared" si="4"/>
        <v>60.9</v>
      </c>
      <c r="Z38" s="4">
        <f t="shared" si="5"/>
        <v>36</v>
      </c>
      <c r="AA38" s="4">
        <f t="shared" si="6"/>
        <v>72</v>
      </c>
    </row>
    <row r="39" spans="2:27" x14ac:dyDescent="0.25">
      <c r="B39" s="265">
        <v>14</v>
      </c>
      <c r="C39" s="266">
        <f>'IAT-1'!C39</f>
        <v>951323243014</v>
      </c>
      <c r="D39" s="267" t="str">
        <f>'IAT-1'!D39</f>
        <v>CHENGALESWARI K</v>
      </c>
      <c r="E39" s="252"/>
      <c r="F39" s="253">
        <f>'I2'!D28</f>
        <v>2</v>
      </c>
      <c r="G39" s="268">
        <f>'I2'!E28</f>
        <v>2</v>
      </c>
      <c r="H39" s="268">
        <f>'I2'!F28</f>
        <v>2</v>
      </c>
      <c r="I39" s="268">
        <f>'I2'!G28</f>
        <v>2</v>
      </c>
      <c r="J39" s="268">
        <f>'I2'!H28</f>
        <v>2</v>
      </c>
      <c r="K39" s="254">
        <f>'I2'!I28+'I2'!J28</f>
        <v>7</v>
      </c>
      <c r="L39" s="254">
        <f>'I2'!K28+'I2'!L28</f>
        <v>7</v>
      </c>
      <c r="M39" s="254">
        <f>'I2'!M28+'I2'!N28</f>
        <v>7</v>
      </c>
      <c r="N39" s="254">
        <f>'I2'!O28+'I2'!P28</f>
        <v>7</v>
      </c>
      <c r="O39" s="254">
        <f>'I2'!Q28+'I2'!R28</f>
        <v>12</v>
      </c>
      <c r="P39" s="250">
        <f>SUMIF('BL-2'!$C$20:$L$20,"*",'IAT-2'!F39:O39)</f>
        <v>0</v>
      </c>
      <c r="Q39" s="269">
        <f t="shared" si="0"/>
        <v>0</v>
      </c>
      <c r="R39" s="250">
        <f>SUMIF('BL-2'!$C$21:$L$21,"*",'IAT-2'!F39:O39)</f>
        <v>0</v>
      </c>
      <c r="S39" s="270">
        <f t="shared" si="1"/>
        <v>0</v>
      </c>
      <c r="T39" s="250">
        <f>SUMIF('BL-2'!$C$22:$L$22,"*",'IAT-2'!F39:O39)</f>
        <v>9</v>
      </c>
      <c r="U39" s="270">
        <f t="shared" si="2"/>
        <v>100</v>
      </c>
      <c r="V39" s="250">
        <f>SUMIF('BL-2'!$C$23:$L$23,"ü",'IAT-2'!F39:O39)</f>
        <v>18</v>
      </c>
      <c r="W39" s="270">
        <f t="shared" si="3"/>
        <v>100</v>
      </c>
      <c r="X39" s="250">
        <f>SUMIF('BL-2'!$C$24:$L$24,"*",'IAT-2'!F39:O39)</f>
        <v>23</v>
      </c>
      <c r="Y39" s="254">
        <f t="shared" si="4"/>
        <v>100</v>
      </c>
      <c r="Z39" s="4">
        <f t="shared" si="5"/>
        <v>50</v>
      </c>
      <c r="AA39" s="4">
        <f t="shared" si="6"/>
        <v>100</v>
      </c>
    </row>
    <row r="40" spans="2:27" x14ac:dyDescent="0.25">
      <c r="B40" s="265">
        <v>15</v>
      </c>
      <c r="C40" s="266">
        <f>'IAT-1'!C40</f>
        <v>951323243015</v>
      </c>
      <c r="D40" s="267" t="str">
        <f>'IAT-1'!D40</f>
        <v>DEVI L</v>
      </c>
      <c r="E40" s="252"/>
      <c r="F40" s="253">
        <f>'I2'!D29</f>
        <v>0</v>
      </c>
      <c r="G40" s="268">
        <f>'I2'!E29</f>
        <v>0</v>
      </c>
      <c r="H40" s="268">
        <f>'I2'!F29</f>
        <v>0</v>
      </c>
      <c r="I40" s="268">
        <f>'I2'!G29</f>
        <v>1</v>
      </c>
      <c r="J40" s="268">
        <f>'I2'!H29</f>
        <v>1</v>
      </c>
      <c r="K40" s="254">
        <f>'I2'!I29+'I2'!J29</f>
        <v>6</v>
      </c>
      <c r="L40" s="254">
        <f>'I2'!K29+'I2'!L29</f>
        <v>0</v>
      </c>
      <c r="M40" s="254">
        <f>'I2'!M29+'I2'!N29</f>
        <v>0</v>
      </c>
      <c r="N40" s="254">
        <f>'I2'!O29+'I2'!P29</f>
        <v>5</v>
      </c>
      <c r="O40" s="254">
        <f>'I2'!Q29+'I2'!R29</f>
        <v>12</v>
      </c>
      <c r="P40" s="250">
        <f>SUMIF('BL-2'!$C$20:$L$20,"*",'IAT-2'!F40:O40)</f>
        <v>0</v>
      </c>
      <c r="Q40" s="269">
        <f t="shared" si="0"/>
        <v>0</v>
      </c>
      <c r="R40" s="250">
        <f>SUMIF('BL-2'!$C$21:$L$21,"*",'IAT-2'!F40:O40)</f>
        <v>0</v>
      </c>
      <c r="S40" s="270">
        <f t="shared" si="1"/>
        <v>0</v>
      </c>
      <c r="T40" s="250">
        <f>SUMIF('BL-2'!$C$22:$L$22,"*",'IAT-2'!F40:O40)</f>
        <v>6</v>
      </c>
      <c r="U40" s="270">
        <f t="shared" si="2"/>
        <v>66.7</v>
      </c>
      <c r="V40" s="250">
        <f>SUMIF('BL-2'!$C$23:$L$23,"ü",'IAT-2'!F40:O40)</f>
        <v>0</v>
      </c>
      <c r="W40" s="270">
        <f t="shared" si="3"/>
        <v>0</v>
      </c>
      <c r="X40" s="250">
        <f>SUMIF('BL-2'!$C$24:$L$24,"*",'IAT-2'!F40:O40)</f>
        <v>19</v>
      </c>
      <c r="Y40" s="254">
        <f t="shared" si="4"/>
        <v>82.6</v>
      </c>
      <c r="Z40" s="4">
        <f t="shared" si="5"/>
        <v>25</v>
      </c>
      <c r="AA40" s="4">
        <f t="shared" si="6"/>
        <v>50</v>
      </c>
    </row>
    <row r="41" spans="2:27" x14ac:dyDescent="0.25">
      <c r="B41" s="265">
        <v>16</v>
      </c>
      <c r="C41" s="266">
        <f>'IAT-1'!C41</f>
        <v>951323243016</v>
      </c>
      <c r="D41" s="267" t="str">
        <f>'IAT-1'!D41</f>
        <v>DHARUN S</v>
      </c>
      <c r="E41" s="252"/>
      <c r="F41" s="253">
        <f>'I2'!D30</f>
        <v>0</v>
      </c>
      <c r="G41" s="268">
        <f>'I2'!E30</f>
        <v>0</v>
      </c>
      <c r="H41" s="268">
        <f>'I2'!F30</f>
        <v>0</v>
      </c>
      <c r="I41" s="268">
        <f>'I2'!G30</f>
        <v>0</v>
      </c>
      <c r="J41" s="268">
        <f>'I2'!H30</f>
        <v>0</v>
      </c>
      <c r="K41" s="254">
        <f>'I2'!I30+'I2'!J30</f>
        <v>0</v>
      </c>
      <c r="L41" s="254">
        <f>'I2'!K30+'I2'!L30</f>
        <v>0</v>
      </c>
      <c r="M41" s="254">
        <f>'I2'!M30+'I2'!N30</f>
        <v>0</v>
      </c>
      <c r="N41" s="254">
        <f>'I2'!O30+'I2'!P30</f>
        <v>0</v>
      </c>
      <c r="O41" s="254">
        <f>'I2'!Q30+'I2'!R30</f>
        <v>0</v>
      </c>
      <c r="P41" s="250">
        <f>SUMIF('BL-2'!$C$20:$L$20,"*",'IAT-2'!F41:O41)</f>
        <v>0</v>
      </c>
      <c r="Q41" s="269">
        <f t="shared" si="0"/>
        <v>0</v>
      </c>
      <c r="R41" s="250">
        <f>SUMIF('BL-2'!$C$21:$L$21,"*",'IAT-2'!F41:O41)</f>
        <v>0</v>
      </c>
      <c r="S41" s="270">
        <f t="shared" si="1"/>
        <v>0</v>
      </c>
      <c r="T41" s="250">
        <f>SUMIF('BL-2'!$C$22:$L$22,"*",'IAT-2'!F41:O41)</f>
        <v>0</v>
      </c>
      <c r="U41" s="270">
        <f t="shared" si="2"/>
        <v>0</v>
      </c>
      <c r="V41" s="250">
        <f>SUMIF('BL-2'!$C$23:$L$23,"ü",'IAT-2'!F41:O41)</f>
        <v>0</v>
      </c>
      <c r="W41" s="270">
        <f t="shared" si="3"/>
        <v>0</v>
      </c>
      <c r="X41" s="250">
        <f>SUMIF('BL-2'!$C$24:$L$24,"*",'IAT-2'!F41:O41)</f>
        <v>0</v>
      </c>
      <c r="Y41" s="254">
        <f t="shared" si="4"/>
        <v>0</v>
      </c>
      <c r="Z41" s="4">
        <f t="shared" si="5"/>
        <v>0</v>
      </c>
      <c r="AA41" s="4">
        <f t="shared" si="6"/>
        <v>0</v>
      </c>
    </row>
    <row r="42" spans="2:27" x14ac:dyDescent="0.25">
      <c r="B42" s="265">
        <v>17</v>
      </c>
      <c r="C42" s="266">
        <f>'IAT-1'!C42</f>
        <v>951323243017</v>
      </c>
      <c r="D42" s="267" t="str">
        <f>'IAT-1'!D42</f>
        <v>EAKANTHALINGAM R</v>
      </c>
      <c r="E42" s="252"/>
      <c r="F42" s="253">
        <f>'I2'!D31</f>
        <v>2</v>
      </c>
      <c r="G42" s="268">
        <f>'I2'!E31</f>
        <v>1</v>
      </c>
      <c r="H42" s="268">
        <f>'I2'!F31</f>
        <v>2</v>
      </c>
      <c r="I42" s="268">
        <f>'I2'!G31</f>
        <v>1</v>
      </c>
      <c r="J42" s="268">
        <f>'I2'!H31</f>
        <v>2</v>
      </c>
      <c r="K42" s="254">
        <f>'I2'!I31+'I2'!J31</f>
        <v>0</v>
      </c>
      <c r="L42" s="254">
        <f>'I2'!K31+'I2'!L31</f>
        <v>1</v>
      </c>
      <c r="M42" s="254">
        <f>'I2'!M31+'I2'!N31</f>
        <v>0</v>
      </c>
      <c r="N42" s="254">
        <f>'I2'!O31+'I2'!P31</f>
        <v>3</v>
      </c>
      <c r="O42" s="254">
        <f>'I2'!Q31+'I2'!R31</f>
        <v>8</v>
      </c>
      <c r="P42" s="250">
        <f>SUMIF('BL-2'!$C$20:$L$20,"*",'IAT-2'!F42:O42)</f>
        <v>0</v>
      </c>
      <c r="Q42" s="269">
        <f t="shared" si="0"/>
        <v>0</v>
      </c>
      <c r="R42" s="250">
        <f>SUMIF('BL-2'!$C$21:$L$21,"*",'IAT-2'!F42:O42)</f>
        <v>0</v>
      </c>
      <c r="S42" s="270">
        <f t="shared" si="1"/>
        <v>0</v>
      </c>
      <c r="T42" s="250">
        <f>SUMIF('BL-2'!$C$22:$L$22,"*",'IAT-2'!F42:O42)</f>
        <v>2</v>
      </c>
      <c r="U42" s="270">
        <f t="shared" si="2"/>
        <v>22.2</v>
      </c>
      <c r="V42" s="250">
        <f>SUMIF('BL-2'!$C$23:$L$23,"ü",'IAT-2'!F42:O42)</f>
        <v>4</v>
      </c>
      <c r="W42" s="270">
        <f t="shared" si="3"/>
        <v>22.2</v>
      </c>
      <c r="X42" s="250">
        <f>SUMIF('BL-2'!$C$24:$L$24,"*",'IAT-2'!F42:O42)</f>
        <v>14</v>
      </c>
      <c r="Y42" s="254">
        <f t="shared" si="4"/>
        <v>60.9</v>
      </c>
      <c r="Z42" s="4">
        <f t="shared" si="5"/>
        <v>20</v>
      </c>
      <c r="AA42" s="4">
        <f t="shared" si="6"/>
        <v>40</v>
      </c>
    </row>
    <row r="43" spans="2:27" x14ac:dyDescent="0.25">
      <c r="B43" s="265">
        <v>18</v>
      </c>
      <c r="C43" s="266">
        <f>'IAT-1'!C43</f>
        <v>951323243018</v>
      </c>
      <c r="D43" s="267" t="str">
        <f>'IAT-1'!D43</f>
        <v>EFRIN THANASEKARAN J</v>
      </c>
      <c r="E43" s="252"/>
      <c r="F43" s="253">
        <f>'I2'!D32</f>
        <v>0</v>
      </c>
      <c r="G43" s="268">
        <f>'I2'!E32</f>
        <v>1</v>
      </c>
      <c r="H43" s="268">
        <f>'I2'!F32</f>
        <v>1</v>
      </c>
      <c r="I43" s="268">
        <f>'I2'!G32</f>
        <v>2</v>
      </c>
      <c r="J43" s="268">
        <f>'I2'!H32</f>
        <v>1</v>
      </c>
      <c r="K43" s="254">
        <f>'I2'!I32+'I2'!J32</f>
        <v>6</v>
      </c>
      <c r="L43" s="254">
        <f>'I2'!K32+'I2'!L32</f>
        <v>0</v>
      </c>
      <c r="M43" s="254">
        <f>'I2'!M32+'I2'!N32</f>
        <v>0</v>
      </c>
      <c r="N43" s="254">
        <f>'I2'!O32+'I2'!P32</f>
        <v>5</v>
      </c>
      <c r="O43" s="254">
        <f>'I2'!Q32+'I2'!R32</f>
        <v>9</v>
      </c>
      <c r="P43" s="250">
        <f>SUMIF('BL-2'!$C$20:$L$20,"*",'IAT-2'!F43:O43)</f>
        <v>0</v>
      </c>
      <c r="Q43" s="269">
        <f t="shared" si="0"/>
        <v>0</v>
      </c>
      <c r="R43" s="250">
        <f>SUMIF('BL-2'!$C$21:$L$21,"*",'IAT-2'!F43:O43)</f>
        <v>0</v>
      </c>
      <c r="S43" s="270">
        <f t="shared" si="1"/>
        <v>0</v>
      </c>
      <c r="T43" s="250">
        <f>SUMIF('BL-2'!$C$22:$L$22,"*",'IAT-2'!F43:O43)</f>
        <v>6</v>
      </c>
      <c r="U43" s="270">
        <f t="shared" si="2"/>
        <v>66.7</v>
      </c>
      <c r="V43" s="250">
        <f>SUMIF('BL-2'!$C$23:$L$23,"ü",'IAT-2'!F43:O43)</f>
        <v>2</v>
      </c>
      <c r="W43" s="270">
        <f t="shared" si="3"/>
        <v>11.1</v>
      </c>
      <c r="X43" s="250">
        <f>SUMIF('BL-2'!$C$24:$L$24,"*",'IAT-2'!F43:O43)</f>
        <v>17</v>
      </c>
      <c r="Y43" s="254">
        <f t="shared" si="4"/>
        <v>73.900000000000006</v>
      </c>
      <c r="Z43" s="4">
        <f t="shared" si="5"/>
        <v>25</v>
      </c>
      <c r="AA43" s="4">
        <f t="shared" si="6"/>
        <v>50</v>
      </c>
    </row>
    <row r="44" spans="2:27" x14ac:dyDescent="0.25">
      <c r="B44" s="265">
        <v>19</v>
      </c>
      <c r="C44" s="266">
        <f>'IAT-1'!C44</f>
        <v>951323243019</v>
      </c>
      <c r="D44" s="267" t="str">
        <f>'IAT-1'!D44</f>
        <v>GAYATHRI M</v>
      </c>
      <c r="E44" s="252"/>
      <c r="F44" s="253">
        <f>'I2'!D33</f>
        <v>1</v>
      </c>
      <c r="G44" s="268">
        <f>'I2'!E33</f>
        <v>2</v>
      </c>
      <c r="H44" s="268">
        <f>'I2'!F33</f>
        <v>2</v>
      </c>
      <c r="I44" s="268">
        <f>'I2'!G33</f>
        <v>2</v>
      </c>
      <c r="J44" s="268">
        <f>'I2'!H33</f>
        <v>2</v>
      </c>
      <c r="K44" s="254">
        <f>'I2'!I33+'I2'!J33</f>
        <v>5</v>
      </c>
      <c r="L44" s="254">
        <f>'I2'!K33+'I2'!L33</f>
        <v>3</v>
      </c>
      <c r="M44" s="254">
        <f>'I2'!M33+'I2'!N33</f>
        <v>5</v>
      </c>
      <c r="N44" s="254">
        <f>'I2'!O33+'I2'!P33</f>
        <v>4</v>
      </c>
      <c r="O44" s="254">
        <f>'I2'!Q33+'I2'!R33</f>
        <v>12</v>
      </c>
      <c r="P44" s="250">
        <f>SUMIF('BL-2'!$C$20:$L$20,"*",'IAT-2'!F44:O44)</f>
        <v>0</v>
      </c>
      <c r="Q44" s="269">
        <f t="shared" si="0"/>
        <v>0</v>
      </c>
      <c r="R44" s="250">
        <f>SUMIF('BL-2'!$C$21:$L$21,"*",'IAT-2'!F44:O44)</f>
        <v>0</v>
      </c>
      <c r="S44" s="270">
        <f t="shared" si="1"/>
        <v>0</v>
      </c>
      <c r="T44" s="250">
        <f>SUMIF('BL-2'!$C$22:$L$22,"*",'IAT-2'!F44:O44)</f>
        <v>6</v>
      </c>
      <c r="U44" s="270">
        <f t="shared" si="2"/>
        <v>66.7</v>
      </c>
      <c r="V44" s="250">
        <f>SUMIF('BL-2'!$C$23:$L$23,"ü",'IAT-2'!F44:O44)</f>
        <v>12</v>
      </c>
      <c r="W44" s="270">
        <f t="shared" si="3"/>
        <v>66.7</v>
      </c>
      <c r="X44" s="250">
        <f>SUMIF('BL-2'!$C$24:$L$24,"*",'IAT-2'!F44:O44)</f>
        <v>20</v>
      </c>
      <c r="Y44" s="254">
        <f t="shared" si="4"/>
        <v>87</v>
      </c>
      <c r="Z44" s="4">
        <f t="shared" si="5"/>
        <v>38</v>
      </c>
      <c r="AA44" s="4">
        <f t="shared" si="6"/>
        <v>76</v>
      </c>
    </row>
    <row r="45" spans="2:27" x14ac:dyDescent="0.25">
      <c r="B45" s="265">
        <v>20</v>
      </c>
      <c r="C45" s="266">
        <f>'IAT-1'!C45</f>
        <v>951323243020</v>
      </c>
      <c r="D45" s="267" t="str">
        <f>'IAT-1'!D45</f>
        <v>GOKILA G</v>
      </c>
      <c r="E45" s="252"/>
      <c r="F45" s="253">
        <f>'I2'!D34</f>
        <v>2</v>
      </c>
      <c r="G45" s="268">
        <f>'I2'!E34</f>
        <v>1</v>
      </c>
      <c r="H45" s="268">
        <f>'I2'!F34</f>
        <v>2</v>
      </c>
      <c r="I45" s="268">
        <f>'I2'!G34</f>
        <v>2</v>
      </c>
      <c r="J45" s="268">
        <f>'I2'!H34</f>
        <v>2</v>
      </c>
      <c r="K45" s="254">
        <f>'I2'!I34+'I2'!J34</f>
        <v>7</v>
      </c>
      <c r="L45" s="254">
        <f>'I2'!K34+'I2'!L34</f>
        <v>7</v>
      </c>
      <c r="M45" s="254">
        <f>'I2'!M34+'I2'!N34</f>
        <v>0</v>
      </c>
      <c r="N45" s="254">
        <f>'I2'!O34+'I2'!P34</f>
        <v>5</v>
      </c>
      <c r="O45" s="254">
        <f>'I2'!Q34+'I2'!R34</f>
        <v>12</v>
      </c>
      <c r="P45" s="250">
        <f>SUMIF('BL-2'!$C$20:$L$20,"*",'IAT-2'!F45:O45)</f>
        <v>0</v>
      </c>
      <c r="Q45" s="269">
        <f t="shared" si="0"/>
        <v>0</v>
      </c>
      <c r="R45" s="250">
        <f>SUMIF('BL-2'!$C$21:$L$21,"*",'IAT-2'!F45:O45)</f>
        <v>0</v>
      </c>
      <c r="S45" s="270">
        <f t="shared" si="1"/>
        <v>0</v>
      </c>
      <c r="T45" s="250">
        <f>SUMIF('BL-2'!$C$22:$L$22,"*",'IAT-2'!F45:O45)</f>
        <v>9</v>
      </c>
      <c r="U45" s="270">
        <f t="shared" si="2"/>
        <v>100</v>
      </c>
      <c r="V45" s="250">
        <f>SUMIF('BL-2'!$C$23:$L$23,"ü",'IAT-2'!F45:O45)</f>
        <v>10</v>
      </c>
      <c r="W45" s="270">
        <f t="shared" si="3"/>
        <v>55.6</v>
      </c>
      <c r="X45" s="250">
        <f>SUMIF('BL-2'!$C$24:$L$24,"*",'IAT-2'!F45:O45)</f>
        <v>21</v>
      </c>
      <c r="Y45" s="254">
        <f t="shared" si="4"/>
        <v>91.3</v>
      </c>
      <c r="Z45" s="4">
        <f t="shared" si="5"/>
        <v>40</v>
      </c>
      <c r="AA45" s="4">
        <f t="shared" si="6"/>
        <v>80</v>
      </c>
    </row>
    <row r="46" spans="2:27" x14ac:dyDescent="0.25">
      <c r="B46" s="265">
        <v>21</v>
      </c>
      <c r="C46" s="266">
        <f>'IAT-1'!C46</f>
        <v>951323243021</v>
      </c>
      <c r="D46" s="267" t="str">
        <f>'IAT-1'!D46</f>
        <v>GOWRI KRISHNAVENI N</v>
      </c>
      <c r="E46" s="252"/>
      <c r="F46" s="253">
        <f>'I2'!D35</f>
        <v>2</v>
      </c>
      <c r="G46" s="268">
        <f>'I2'!E35</f>
        <v>1</v>
      </c>
      <c r="H46" s="268">
        <f>'I2'!F35</f>
        <v>2</v>
      </c>
      <c r="I46" s="268">
        <f>'I2'!G35</f>
        <v>2</v>
      </c>
      <c r="J46" s="268">
        <f>'I2'!H35</f>
        <v>2</v>
      </c>
      <c r="K46" s="254">
        <f>'I2'!I35+'I2'!J35</f>
        <v>7</v>
      </c>
      <c r="L46" s="254">
        <f>'I2'!K35+'I2'!L35</f>
        <v>7</v>
      </c>
      <c r="M46" s="254">
        <f>'I2'!M35+'I2'!N35</f>
        <v>7</v>
      </c>
      <c r="N46" s="254">
        <f>'I2'!O35+'I2'!P35</f>
        <v>7</v>
      </c>
      <c r="O46" s="254">
        <f>'I2'!Q35+'I2'!R35</f>
        <v>12</v>
      </c>
      <c r="P46" s="250">
        <f>SUMIF('BL-2'!$C$20:$L$20,"*",'IAT-2'!F46:O46)</f>
        <v>0</v>
      </c>
      <c r="Q46" s="269">
        <f t="shared" si="0"/>
        <v>0</v>
      </c>
      <c r="R46" s="250">
        <f>SUMIF('BL-2'!$C$21:$L$21,"*",'IAT-2'!F46:O46)</f>
        <v>0</v>
      </c>
      <c r="S46" s="270">
        <f t="shared" si="1"/>
        <v>0</v>
      </c>
      <c r="T46" s="250">
        <f>SUMIF('BL-2'!$C$22:$L$22,"*",'IAT-2'!F46:O46)</f>
        <v>9</v>
      </c>
      <c r="U46" s="270">
        <f t="shared" si="2"/>
        <v>100</v>
      </c>
      <c r="V46" s="250">
        <f>SUMIF('BL-2'!$C$23:$L$23,"ü",'IAT-2'!F46:O46)</f>
        <v>17</v>
      </c>
      <c r="W46" s="270">
        <f t="shared" si="3"/>
        <v>94.4</v>
      </c>
      <c r="X46" s="250">
        <f>SUMIF('BL-2'!$C$24:$L$24,"*",'IAT-2'!F46:O46)</f>
        <v>23</v>
      </c>
      <c r="Y46" s="254">
        <f t="shared" si="4"/>
        <v>100</v>
      </c>
      <c r="Z46" s="4">
        <f t="shared" si="5"/>
        <v>49</v>
      </c>
      <c r="AA46" s="4">
        <f t="shared" si="6"/>
        <v>98</v>
      </c>
    </row>
    <row r="47" spans="2:27" x14ac:dyDescent="0.25">
      <c r="B47" s="265">
        <v>22</v>
      </c>
      <c r="C47" s="266">
        <f>'IAT-1'!C47</f>
        <v>951323243022</v>
      </c>
      <c r="D47" s="267" t="str">
        <f>'IAT-1'!D47</f>
        <v>HEART BRIGHT MERCY S</v>
      </c>
      <c r="E47" s="252"/>
      <c r="F47" s="253">
        <f>'I2'!D36</f>
        <v>0</v>
      </c>
      <c r="G47" s="268">
        <f>'I2'!E36</f>
        <v>0</v>
      </c>
      <c r="H47" s="268">
        <f>'I2'!F36</f>
        <v>0</v>
      </c>
      <c r="I47" s="268">
        <f>'I2'!G36</f>
        <v>0</v>
      </c>
      <c r="J47" s="268">
        <f>'I2'!H36</f>
        <v>0</v>
      </c>
      <c r="K47" s="254">
        <f>'I2'!I36+'I2'!J36</f>
        <v>0</v>
      </c>
      <c r="L47" s="254">
        <f>'I2'!K36+'I2'!L36</f>
        <v>0</v>
      </c>
      <c r="M47" s="254">
        <f>'I2'!M36+'I2'!N36</f>
        <v>0</v>
      </c>
      <c r="N47" s="254">
        <f>'I2'!O36+'I2'!P36</f>
        <v>0</v>
      </c>
      <c r="O47" s="254">
        <f>'I2'!Q36+'I2'!R36</f>
        <v>0</v>
      </c>
      <c r="P47" s="250">
        <f>SUMIF('BL-2'!$C$20:$L$20,"*",'IAT-2'!F47:O47)</f>
        <v>0</v>
      </c>
      <c r="Q47" s="269">
        <f t="shared" si="0"/>
        <v>0</v>
      </c>
      <c r="R47" s="250">
        <f>SUMIF('BL-2'!$C$21:$L$21,"*",'IAT-2'!F47:O47)</f>
        <v>0</v>
      </c>
      <c r="S47" s="270">
        <f t="shared" si="1"/>
        <v>0</v>
      </c>
      <c r="T47" s="250">
        <f>SUMIF('BL-2'!$C$22:$L$22,"*",'IAT-2'!F47:O47)</f>
        <v>0</v>
      </c>
      <c r="U47" s="270">
        <f t="shared" si="2"/>
        <v>0</v>
      </c>
      <c r="V47" s="250">
        <f>SUMIF('BL-2'!$C$23:$L$23,"ü",'IAT-2'!F47:O47)</f>
        <v>0</v>
      </c>
      <c r="W47" s="270">
        <f t="shared" si="3"/>
        <v>0</v>
      </c>
      <c r="X47" s="250">
        <f>SUMIF('BL-2'!$C$24:$L$24,"*",'IAT-2'!F47:O47)</f>
        <v>0</v>
      </c>
      <c r="Y47" s="254">
        <f t="shared" si="4"/>
        <v>0</v>
      </c>
      <c r="Z47" s="4">
        <f t="shared" si="5"/>
        <v>0</v>
      </c>
      <c r="AA47" s="4">
        <f t="shared" si="6"/>
        <v>0</v>
      </c>
    </row>
    <row r="48" spans="2:27" x14ac:dyDescent="0.25">
      <c r="B48" s="265">
        <v>23</v>
      </c>
      <c r="C48" s="266">
        <f>'IAT-1'!C48</f>
        <v>951323243023</v>
      </c>
      <c r="D48" s="267" t="str">
        <f>'IAT-1'!D48</f>
        <v>INFANT EBINESH R</v>
      </c>
      <c r="E48" s="252"/>
      <c r="F48" s="253">
        <f>'I2'!D37</f>
        <v>1</v>
      </c>
      <c r="G48" s="268">
        <f>'I2'!E37</f>
        <v>1</v>
      </c>
      <c r="H48" s="268">
        <f>'I2'!F37</f>
        <v>0</v>
      </c>
      <c r="I48" s="268">
        <f>'I2'!G37</f>
        <v>0</v>
      </c>
      <c r="J48" s="268">
        <f>'I2'!H37</f>
        <v>0</v>
      </c>
      <c r="K48" s="254">
        <f>'I2'!I37+'I2'!J37</f>
        <v>0</v>
      </c>
      <c r="L48" s="254">
        <f>'I2'!K37+'I2'!L37</f>
        <v>0</v>
      </c>
      <c r="M48" s="254">
        <f>'I2'!M37+'I2'!N37</f>
        <v>0</v>
      </c>
      <c r="N48" s="254">
        <f>'I2'!O37+'I2'!P37</f>
        <v>0</v>
      </c>
      <c r="O48" s="254">
        <f>'I2'!Q37+'I2'!R37</f>
        <v>3</v>
      </c>
      <c r="P48" s="250">
        <f>SUMIF('BL-2'!$C$20:$L$20,"*",'IAT-2'!F48:O48)</f>
        <v>0</v>
      </c>
      <c r="Q48" s="269">
        <f t="shared" si="0"/>
        <v>0</v>
      </c>
      <c r="R48" s="250">
        <f>SUMIF('BL-2'!$C$21:$L$21,"*",'IAT-2'!F48:O48)</f>
        <v>0</v>
      </c>
      <c r="S48" s="270">
        <f t="shared" si="1"/>
        <v>0</v>
      </c>
      <c r="T48" s="250">
        <f>SUMIF('BL-2'!$C$22:$L$22,"*",'IAT-2'!F48:O48)</f>
        <v>1</v>
      </c>
      <c r="U48" s="270">
        <f t="shared" si="2"/>
        <v>11.1</v>
      </c>
      <c r="V48" s="250">
        <f>SUMIF('BL-2'!$C$23:$L$23,"ü",'IAT-2'!F48:O48)</f>
        <v>1</v>
      </c>
      <c r="W48" s="270">
        <f t="shared" si="3"/>
        <v>5.6</v>
      </c>
      <c r="X48" s="250">
        <f>SUMIF('BL-2'!$C$24:$L$24,"*",'IAT-2'!F48:O48)</f>
        <v>3</v>
      </c>
      <c r="Y48" s="254">
        <f t="shared" si="4"/>
        <v>13</v>
      </c>
      <c r="Z48" s="4">
        <f t="shared" si="5"/>
        <v>5</v>
      </c>
      <c r="AA48" s="4">
        <f t="shared" si="6"/>
        <v>10</v>
      </c>
    </row>
    <row r="49" spans="2:27" x14ac:dyDescent="0.25">
      <c r="B49" s="265">
        <v>24</v>
      </c>
      <c r="C49" s="266">
        <f>'IAT-1'!C49</f>
        <v>951323243024</v>
      </c>
      <c r="D49" s="267" t="str">
        <f>'IAT-1'!D49</f>
        <v>JAI SURYA N</v>
      </c>
      <c r="E49" s="252"/>
      <c r="F49" s="253">
        <f>'I2'!D38</f>
        <v>1</v>
      </c>
      <c r="G49" s="268">
        <f>'I2'!E38</f>
        <v>1</v>
      </c>
      <c r="H49" s="268">
        <f>'I2'!F38</f>
        <v>1</v>
      </c>
      <c r="I49" s="268">
        <f>'I2'!G38</f>
        <v>2</v>
      </c>
      <c r="J49" s="268">
        <f>'I2'!H38</f>
        <v>1</v>
      </c>
      <c r="K49" s="254">
        <f>'I2'!I38+'I2'!J38</f>
        <v>4</v>
      </c>
      <c r="L49" s="254">
        <f>'I2'!K38+'I2'!L38</f>
        <v>0</v>
      </c>
      <c r="M49" s="254">
        <f>'I2'!M38+'I2'!N38</f>
        <v>0</v>
      </c>
      <c r="N49" s="254">
        <f>'I2'!O38+'I2'!P38</f>
        <v>3</v>
      </c>
      <c r="O49" s="254">
        <f>'I2'!Q38+'I2'!R38</f>
        <v>8</v>
      </c>
      <c r="P49" s="250">
        <f>SUMIF('BL-2'!$C$20:$L$20,"*",'IAT-2'!F49:O49)</f>
        <v>0</v>
      </c>
      <c r="Q49" s="269">
        <f t="shared" si="0"/>
        <v>0</v>
      </c>
      <c r="R49" s="250">
        <f>SUMIF('BL-2'!$C$21:$L$21,"*",'IAT-2'!F49:O49)</f>
        <v>0</v>
      </c>
      <c r="S49" s="270">
        <f t="shared" si="1"/>
        <v>0</v>
      </c>
      <c r="T49" s="250">
        <f>SUMIF('BL-2'!$C$22:$L$22,"*",'IAT-2'!F49:O49)</f>
        <v>5</v>
      </c>
      <c r="U49" s="270">
        <f t="shared" si="2"/>
        <v>55.6</v>
      </c>
      <c r="V49" s="250">
        <f>SUMIF('BL-2'!$C$23:$L$23,"ü",'IAT-2'!F49:O49)</f>
        <v>2</v>
      </c>
      <c r="W49" s="270">
        <f t="shared" si="3"/>
        <v>11.1</v>
      </c>
      <c r="X49" s="250">
        <f>SUMIF('BL-2'!$C$24:$L$24,"*",'IAT-2'!F49:O49)</f>
        <v>14</v>
      </c>
      <c r="Y49" s="254">
        <f t="shared" si="4"/>
        <v>60.9</v>
      </c>
      <c r="Z49" s="4">
        <f t="shared" si="5"/>
        <v>21</v>
      </c>
      <c r="AA49" s="4">
        <f t="shared" si="6"/>
        <v>42</v>
      </c>
    </row>
    <row r="50" spans="2:27" x14ac:dyDescent="0.25">
      <c r="B50" s="265">
        <v>25</v>
      </c>
      <c r="C50" s="266">
        <f>'IAT-1'!C50</f>
        <v>951323243025</v>
      </c>
      <c r="D50" s="267" t="str">
        <f>'IAT-1'!D50</f>
        <v>JANI ALICE THIRSA J</v>
      </c>
      <c r="E50" s="252"/>
      <c r="F50" s="253">
        <f>'I2'!D39</f>
        <v>2</v>
      </c>
      <c r="G50" s="268">
        <f>'I2'!E39</f>
        <v>1</v>
      </c>
      <c r="H50" s="268">
        <f>'I2'!F39</f>
        <v>2</v>
      </c>
      <c r="I50" s="268">
        <f>'I2'!G39</f>
        <v>2</v>
      </c>
      <c r="J50" s="268">
        <f>'I2'!H39</f>
        <v>2</v>
      </c>
      <c r="K50" s="254">
        <f>'I2'!I39+'I2'!J39</f>
        <v>6</v>
      </c>
      <c r="L50" s="254">
        <f>'I2'!K39+'I2'!L39</f>
        <v>2</v>
      </c>
      <c r="M50" s="254">
        <f>'I2'!M39+'I2'!N39</f>
        <v>3</v>
      </c>
      <c r="N50" s="254">
        <f>'I2'!O39+'I2'!P39</f>
        <v>5</v>
      </c>
      <c r="O50" s="254">
        <f>'I2'!Q39+'I2'!R39</f>
        <v>11</v>
      </c>
      <c r="P50" s="250">
        <f>SUMIF('BL-2'!$C$20:$L$20,"*",'IAT-2'!F50:O50)</f>
        <v>0</v>
      </c>
      <c r="Q50" s="269">
        <f t="shared" si="0"/>
        <v>0</v>
      </c>
      <c r="R50" s="250">
        <f>SUMIF('BL-2'!$C$21:$L$21,"*",'IAT-2'!F50:O50)</f>
        <v>0</v>
      </c>
      <c r="S50" s="270">
        <f t="shared" si="1"/>
        <v>0</v>
      </c>
      <c r="T50" s="250">
        <f>SUMIF('BL-2'!$C$22:$L$22,"*",'IAT-2'!F50:O50)</f>
        <v>8</v>
      </c>
      <c r="U50" s="270">
        <f t="shared" si="2"/>
        <v>88.9</v>
      </c>
      <c r="V50" s="250">
        <f>SUMIF('BL-2'!$C$23:$L$23,"ü",'IAT-2'!F50:O50)</f>
        <v>8</v>
      </c>
      <c r="W50" s="270">
        <f t="shared" si="3"/>
        <v>44.4</v>
      </c>
      <c r="X50" s="250">
        <f>SUMIF('BL-2'!$C$24:$L$24,"*",'IAT-2'!F50:O50)</f>
        <v>20</v>
      </c>
      <c r="Y50" s="254">
        <f t="shared" si="4"/>
        <v>87</v>
      </c>
      <c r="Z50" s="4">
        <f t="shared" si="5"/>
        <v>36</v>
      </c>
      <c r="AA50" s="4">
        <f t="shared" si="6"/>
        <v>72</v>
      </c>
    </row>
    <row r="51" spans="2:27" x14ac:dyDescent="0.25">
      <c r="B51" s="265">
        <v>26</v>
      </c>
      <c r="C51" s="266">
        <f>'IAT-1'!C51</f>
        <v>951323243026</v>
      </c>
      <c r="D51" s="267" t="str">
        <f>'IAT-1'!D51</f>
        <v>JEBA A</v>
      </c>
      <c r="E51" s="252"/>
      <c r="F51" s="253">
        <f>'I2'!D40</f>
        <v>2</v>
      </c>
      <c r="G51" s="268">
        <f>'I2'!E40</f>
        <v>1</v>
      </c>
      <c r="H51" s="268">
        <f>'I2'!F40</f>
        <v>2</v>
      </c>
      <c r="I51" s="268">
        <f>'I2'!G40</f>
        <v>2</v>
      </c>
      <c r="J51" s="268">
        <f>'I2'!H40</f>
        <v>2</v>
      </c>
      <c r="K51" s="254">
        <f>'I2'!I40+'I2'!J40</f>
        <v>7</v>
      </c>
      <c r="L51" s="254">
        <f>'I2'!K40+'I2'!L40</f>
        <v>7</v>
      </c>
      <c r="M51" s="254">
        <f>'I2'!M40+'I2'!N40</f>
        <v>6</v>
      </c>
      <c r="N51" s="254">
        <f>'I2'!O40+'I2'!P40</f>
        <v>4</v>
      </c>
      <c r="O51" s="254">
        <f>'I2'!Q40+'I2'!R40</f>
        <v>12</v>
      </c>
      <c r="P51" s="250">
        <f>SUMIF('BL-2'!$C$20:$L$20,"*",'IAT-2'!F51:O51)</f>
        <v>0</v>
      </c>
      <c r="Q51" s="269">
        <f t="shared" si="0"/>
        <v>0</v>
      </c>
      <c r="R51" s="250">
        <f>SUMIF('BL-2'!$C$21:$L$21,"*",'IAT-2'!F51:O51)</f>
        <v>0</v>
      </c>
      <c r="S51" s="270">
        <f t="shared" si="1"/>
        <v>0</v>
      </c>
      <c r="T51" s="250">
        <f>SUMIF('BL-2'!$C$22:$L$22,"*",'IAT-2'!F51:O51)</f>
        <v>9</v>
      </c>
      <c r="U51" s="270">
        <f t="shared" si="2"/>
        <v>100</v>
      </c>
      <c r="V51" s="250">
        <f>SUMIF('BL-2'!$C$23:$L$23,"ü",'IAT-2'!F51:O51)</f>
        <v>16</v>
      </c>
      <c r="W51" s="270">
        <f t="shared" si="3"/>
        <v>88.9</v>
      </c>
      <c r="X51" s="250">
        <f>SUMIF('BL-2'!$C$24:$L$24,"*",'IAT-2'!F51:O51)</f>
        <v>20</v>
      </c>
      <c r="Y51" s="254">
        <f t="shared" si="4"/>
        <v>87</v>
      </c>
      <c r="Z51" s="4">
        <f t="shared" si="5"/>
        <v>45</v>
      </c>
      <c r="AA51" s="4">
        <f t="shared" si="6"/>
        <v>90</v>
      </c>
    </row>
    <row r="52" spans="2:27" x14ac:dyDescent="0.25">
      <c r="B52" s="265">
        <v>27</v>
      </c>
      <c r="C52" s="266">
        <f>'IAT-1'!C52</f>
        <v>951323243027</v>
      </c>
      <c r="D52" s="267" t="str">
        <f>'IAT-1'!D52</f>
        <v>JENIFER E</v>
      </c>
      <c r="E52" s="252"/>
      <c r="F52" s="253">
        <f>'I2'!D41</f>
        <v>2</v>
      </c>
      <c r="G52" s="268">
        <f>'I2'!E41</f>
        <v>1</v>
      </c>
      <c r="H52" s="268">
        <f>'I2'!F41</f>
        <v>2</v>
      </c>
      <c r="I52" s="268">
        <f>'I2'!G41</f>
        <v>2</v>
      </c>
      <c r="J52" s="268">
        <f>'I2'!H41</f>
        <v>2</v>
      </c>
      <c r="K52" s="254">
        <f>'I2'!I41+'I2'!J41</f>
        <v>7</v>
      </c>
      <c r="L52" s="254">
        <f>'I2'!K41+'I2'!L41</f>
        <v>7</v>
      </c>
      <c r="M52" s="254">
        <f>'I2'!M41+'I2'!N41</f>
        <v>7</v>
      </c>
      <c r="N52" s="254">
        <f>'I2'!O41+'I2'!P41</f>
        <v>7</v>
      </c>
      <c r="O52" s="254">
        <f>'I2'!Q41+'I2'!R41</f>
        <v>12</v>
      </c>
      <c r="P52" s="250">
        <f>SUMIF('BL-2'!$C$20:$L$20,"*",'IAT-2'!F52:O52)</f>
        <v>0</v>
      </c>
      <c r="Q52" s="269">
        <f t="shared" si="0"/>
        <v>0</v>
      </c>
      <c r="R52" s="250">
        <f>SUMIF('BL-2'!$C$21:$L$21,"*",'IAT-2'!F52:O52)</f>
        <v>0</v>
      </c>
      <c r="S52" s="270">
        <f t="shared" si="1"/>
        <v>0</v>
      </c>
      <c r="T52" s="250">
        <f>SUMIF('BL-2'!$C$22:$L$22,"*",'IAT-2'!F52:O52)</f>
        <v>9</v>
      </c>
      <c r="U52" s="270">
        <f t="shared" si="2"/>
        <v>100</v>
      </c>
      <c r="V52" s="250">
        <f>SUMIF('BL-2'!$C$23:$L$23,"ü",'IAT-2'!F52:O52)</f>
        <v>17</v>
      </c>
      <c r="W52" s="270">
        <f t="shared" si="3"/>
        <v>94.4</v>
      </c>
      <c r="X52" s="250">
        <f>SUMIF('BL-2'!$C$24:$L$24,"*",'IAT-2'!F52:O52)</f>
        <v>23</v>
      </c>
      <c r="Y52" s="254">
        <f t="shared" si="4"/>
        <v>100</v>
      </c>
      <c r="Z52" s="4">
        <f t="shared" si="5"/>
        <v>49</v>
      </c>
      <c r="AA52" s="4">
        <f t="shared" si="6"/>
        <v>98</v>
      </c>
    </row>
    <row r="53" spans="2:27" x14ac:dyDescent="0.25">
      <c r="B53" s="265">
        <v>28</v>
      </c>
      <c r="C53" s="266">
        <f>'IAT-1'!C53</f>
        <v>951323243028</v>
      </c>
      <c r="D53" s="267" t="str">
        <f>'IAT-1'!D53</f>
        <v>JENITTA CATHERIN R</v>
      </c>
      <c r="E53" s="255"/>
      <c r="F53" s="253">
        <f>'I2'!D42</f>
        <v>1</v>
      </c>
      <c r="G53" s="268">
        <f>'I2'!E42</f>
        <v>0</v>
      </c>
      <c r="H53" s="268">
        <f>'I2'!F42</f>
        <v>2</v>
      </c>
      <c r="I53" s="268">
        <f>'I2'!G42</f>
        <v>1</v>
      </c>
      <c r="J53" s="268">
        <f>'I2'!H42</f>
        <v>0</v>
      </c>
      <c r="K53" s="254">
        <f>'I2'!I42+'I2'!J42</f>
        <v>7</v>
      </c>
      <c r="L53" s="254">
        <f>'I2'!K42+'I2'!L42</f>
        <v>0</v>
      </c>
      <c r="M53" s="254">
        <f>'I2'!M42+'I2'!N42</f>
        <v>6</v>
      </c>
      <c r="N53" s="254">
        <f>'I2'!O42+'I2'!P42</f>
        <v>6</v>
      </c>
      <c r="O53" s="254">
        <f>'I2'!Q42+'I2'!R42</f>
        <v>11</v>
      </c>
      <c r="P53" s="250">
        <f>SUMIF('BL-2'!$C$20:$L$20,"*",'IAT-2'!F53:O53)</f>
        <v>0</v>
      </c>
      <c r="Q53" s="269">
        <f t="shared" si="0"/>
        <v>0</v>
      </c>
      <c r="R53" s="250">
        <f>SUMIF('BL-2'!$C$21:$L$21,"*",'IAT-2'!F53:O53)</f>
        <v>0</v>
      </c>
      <c r="S53" s="270">
        <f t="shared" si="1"/>
        <v>0</v>
      </c>
      <c r="T53" s="250">
        <f>SUMIF('BL-2'!$C$22:$L$22,"*",'IAT-2'!F53:O53)</f>
        <v>8</v>
      </c>
      <c r="U53" s="270">
        <f t="shared" si="2"/>
        <v>88.9</v>
      </c>
      <c r="V53" s="250">
        <f>SUMIF('BL-2'!$C$23:$L$23,"ü",'IAT-2'!F53:O53)</f>
        <v>8</v>
      </c>
      <c r="W53" s="270">
        <f t="shared" si="3"/>
        <v>44.4</v>
      </c>
      <c r="X53" s="250">
        <f>SUMIF('BL-2'!$C$24:$L$24,"*",'IAT-2'!F53:O53)</f>
        <v>18</v>
      </c>
      <c r="Y53" s="254">
        <f t="shared" si="4"/>
        <v>78.3</v>
      </c>
      <c r="Z53" s="4">
        <f t="shared" si="5"/>
        <v>34</v>
      </c>
      <c r="AA53" s="4">
        <f t="shared" si="6"/>
        <v>68</v>
      </c>
    </row>
    <row r="54" spans="2:27" x14ac:dyDescent="0.25">
      <c r="B54" s="265">
        <v>29</v>
      </c>
      <c r="C54" s="266">
        <f>'IAT-1'!C54</f>
        <v>951323243029</v>
      </c>
      <c r="D54" s="267" t="str">
        <f>'IAT-1'!D54</f>
        <v>JEYACHITHRA K</v>
      </c>
      <c r="E54" s="252"/>
      <c r="F54" s="253">
        <f>'I2'!D43</f>
        <v>2</v>
      </c>
      <c r="G54" s="268">
        <f>'I2'!E43</f>
        <v>1</v>
      </c>
      <c r="H54" s="268">
        <f>'I2'!F43</f>
        <v>2</v>
      </c>
      <c r="I54" s="268">
        <f>'I2'!G43</f>
        <v>2</v>
      </c>
      <c r="J54" s="268">
        <f>'I2'!H43</f>
        <v>2</v>
      </c>
      <c r="K54" s="254">
        <f>'I2'!I43+'I2'!J43</f>
        <v>7</v>
      </c>
      <c r="L54" s="254">
        <f>'I2'!K43+'I2'!L43</f>
        <v>7</v>
      </c>
      <c r="M54" s="254">
        <f>'I2'!M43+'I2'!N43</f>
        <v>7</v>
      </c>
      <c r="N54" s="254">
        <f>'I2'!O43+'I2'!P43</f>
        <v>7</v>
      </c>
      <c r="O54" s="254">
        <f>'I2'!Q43+'I2'!R43</f>
        <v>12</v>
      </c>
      <c r="P54" s="250">
        <f>SUMIF('BL-2'!$C$20:$L$20,"*",'IAT-2'!F54:O54)</f>
        <v>0</v>
      </c>
      <c r="Q54" s="269">
        <f t="shared" si="0"/>
        <v>0</v>
      </c>
      <c r="R54" s="250">
        <f>SUMIF('BL-2'!$C$21:$L$21,"*",'IAT-2'!F54:O54)</f>
        <v>0</v>
      </c>
      <c r="S54" s="270">
        <f t="shared" si="1"/>
        <v>0</v>
      </c>
      <c r="T54" s="250">
        <f>SUMIF('BL-2'!$C$22:$L$22,"*",'IAT-2'!F54:O54)</f>
        <v>9</v>
      </c>
      <c r="U54" s="270">
        <f t="shared" si="2"/>
        <v>100</v>
      </c>
      <c r="V54" s="250">
        <f>SUMIF('BL-2'!$C$23:$L$23,"ü",'IAT-2'!F54:O54)</f>
        <v>17</v>
      </c>
      <c r="W54" s="270">
        <f t="shared" si="3"/>
        <v>94.4</v>
      </c>
      <c r="X54" s="250">
        <f>SUMIF('BL-2'!$C$24:$L$24,"*",'IAT-2'!F54:O54)</f>
        <v>23</v>
      </c>
      <c r="Y54" s="254">
        <f t="shared" si="4"/>
        <v>100</v>
      </c>
      <c r="Z54" s="4">
        <f t="shared" si="5"/>
        <v>49</v>
      </c>
      <c r="AA54" s="4">
        <f t="shared" si="6"/>
        <v>98</v>
      </c>
    </row>
    <row r="55" spans="2:27" x14ac:dyDescent="0.25">
      <c r="B55" s="265">
        <v>30</v>
      </c>
      <c r="C55" s="266">
        <f>'IAT-1'!C55</f>
        <v>951323243030</v>
      </c>
      <c r="D55" s="267" t="str">
        <f>'IAT-1'!D55</f>
        <v>JOSVA PRINCE R</v>
      </c>
      <c r="E55" s="252"/>
      <c r="F55" s="253">
        <f>'I2'!D44</f>
        <v>1</v>
      </c>
      <c r="G55" s="268">
        <f>'I2'!E44</f>
        <v>0</v>
      </c>
      <c r="H55" s="268">
        <f>'I2'!F44</f>
        <v>0</v>
      </c>
      <c r="I55" s="268">
        <f>'I2'!G44</f>
        <v>0</v>
      </c>
      <c r="J55" s="268">
        <f>'I2'!H44</f>
        <v>0</v>
      </c>
      <c r="K55" s="254">
        <f>'I2'!I44+'I2'!J44</f>
        <v>0</v>
      </c>
      <c r="L55" s="254">
        <f>'I2'!K44+'I2'!L44</f>
        <v>0</v>
      </c>
      <c r="M55" s="254">
        <f>'I2'!M44+'I2'!N44</f>
        <v>0</v>
      </c>
      <c r="N55" s="254">
        <f>'I2'!O44+'I2'!P44</f>
        <v>0</v>
      </c>
      <c r="O55" s="254">
        <f>'I2'!Q44+'I2'!R44</f>
        <v>9</v>
      </c>
      <c r="P55" s="250">
        <f>SUMIF('BL-2'!$C$20:$L$20,"*",'IAT-2'!F55:O55)</f>
        <v>0</v>
      </c>
      <c r="Q55" s="269">
        <f t="shared" si="0"/>
        <v>0</v>
      </c>
      <c r="R55" s="250">
        <f>SUMIF('BL-2'!$C$21:$L$21,"*",'IAT-2'!F55:O55)</f>
        <v>0</v>
      </c>
      <c r="S55" s="270">
        <f t="shared" si="1"/>
        <v>0</v>
      </c>
      <c r="T55" s="250">
        <f>SUMIF('BL-2'!$C$22:$L$22,"*",'IAT-2'!F55:O55)</f>
        <v>1</v>
      </c>
      <c r="U55" s="270">
        <f t="shared" si="2"/>
        <v>11.1</v>
      </c>
      <c r="V55" s="250">
        <f>SUMIF('BL-2'!$C$23:$L$23,"ü",'IAT-2'!F55:O55)</f>
        <v>0</v>
      </c>
      <c r="W55" s="270">
        <f t="shared" si="3"/>
        <v>0</v>
      </c>
      <c r="X55" s="250">
        <f>SUMIF('BL-2'!$C$24:$L$24,"*",'IAT-2'!F55:O55)</f>
        <v>9</v>
      </c>
      <c r="Y55" s="254">
        <f t="shared" si="4"/>
        <v>39.1</v>
      </c>
      <c r="Z55" s="4">
        <f t="shared" si="5"/>
        <v>10</v>
      </c>
      <c r="AA55" s="4">
        <f t="shared" si="6"/>
        <v>20</v>
      </c>
    </row>
    <row r="56" spans="2:27" x14ac:dyDescent="0.25">
      <c r="B56" s="265">
        <v>31</v>
      </c>
      <c r="C56" s="266">
        <f>'IAT-1'!C56</f>
        <v>951323243031</v>
      </c>
      <c r="D56" s="267" t="str">
        <f>'IAT-1'!D56</f>
        <v>KALAI SELVAN VINOTH P</v>
      </c>
      <c r="E56" s="252"/>
      <c r="F56" s="253">
        <f>'I2'!D45</f>
        <v>2</v>
      </c>
      <c r="G56" s="268">
        <f>'I2'!E45</f>
        <v>1</v>
      </c>
      <c r="H56" s="268">
        <f>'I2'!F45</f>
        <v>1</v>
      </c>
      <c r="I56" s="268">
        <f>'I2'!G45</f>
        <v>2</v>
      </c>
      <c r="J56" s="268">
        <f>'I2'!H45</f>
        <v>2</v>
      </c>
      <c r="K56" s="254">
        <f>'I2'!I45+'I2'!J45</f>
        <v>0</v>
      </c>
      <c r="L56" s="254">
        <f>'I2'!K45+'I2'!L45</f>
        <v>0</v>
      </c>
      <c r="M56" s="254">
        <f>'I2'!M45+'I2'!N45</f>
        <v>0</v>
      </c>
      <c r="N56" s="254">
        <f>'I2'!O45+'I2'!P45</f>
        <v>4</v>
      </c>
      <c r="O56" s="254">
        <f>'I2'!Q45+'I2'!R45</f>
        <v>11</v>
      </c>
      <c r="P56" s="250">
        <f>SUMIF('BL-2'!$C$20:$L$20,"*",'IAT-2'!F56:O56)</f>
        <v>0</v>
      </c>
      <c r="Q56" s="269">
        <f t="shared" si="0"/>
        <v>0</v>
      </c>
      <c r="R56" s="250">
        <f>SUMIF('BL-2'!$C$21:$L$21,"*",'IAT-2'!F56:O56)</f>
        <v>0</v>
      </c>
      <c r="S56" s="270">
        <f t="shared" si="1"/>
        <v>0</v>
      </c>
      <c r="T56" s="250">
        <f>SUMIF('BL-2'!$C$22:$L$22,"*",'IAT-2'!F56:O56)</f>
        <v>2</v>
      </c>
      <c r="U56" s="270">
        <f t="shared" si="2"/>
        <v>22.2</v>
      </c>
      <c r="V56" s="250">
        <f>SUMIF('BL-2'!$C$23:$L$23,"ü",'IAT-2'!F56:O56)</f>
        <v>2</v>
      </c>
      <c r="W56" s="270">
        <f t="shared" si="3"/>
        <v>11.1</v>
      </c>
      <c r="X56" s="250">
        <f>SUMIF('BL-2'!$C$24:$L$24,"*",'IAT-2'!F56:O56)</f>
        <v>19</v>
      </c>
      <c r="Y56" s="254">
        <f t="shared" si="4"/>
        <v>82.6</v>
      </c>
      <c r="Z56" s="4">
        <f t="shared" si="5"/>
        <v>23</v>
      </c>
      <c r="AA56" s="4">
        <f t="shared" si="6"/>
        <v>46</v>
      </c>
    </row>
    <row r="57" spans="2:27" x14ac:dyDescent="0.25">
      <c r="B57" s="265">
        <v>32</v>
      </c>
      <c r="C57" s="266">
        <f>'IAT-1'!C57</f>
        <v>951323243032</v>
      </c>
      <c r="D57" s="267" t="str">
        <f>'IAT-1'!D57</f>
        <v>LAKSHMANAN SARATHI S</v>
      </c>
      <c r="E57" s="252"/>
      <c r="F57" s="253">
        <f>'I2'!D46</f>
        <v>2</v>
      </c>
      <c r="G57" s="268">
        <f>'I2'!E46</f>
        <v>2</v>
      </c>
      <c r="H57" s="268">
        <f>'I2'!F46</f>
        <v>2</v>
      </c>
      <c r="I57" s="268">
        <f>'I2'!G46</f>
        <v>2</v>
      </c>
      <c r="J57" s="268">
        <f>'I2'!H46</f>
        <v>2</v>
      </c>
      <c r="K57" s="254">
        <f>'I2'!I46+'I2'!J46</f>
        <v>3</v>
      </c>
      <c r="L57" s="254">
        <f>'I2'!K46+'I2'!L46</f>
        <v>0</v>
      </c>
      <c r="M57" s="254">
        <f>'I2'!M46+'I2'!N46</f>
        <v>0</v>
      </c>
      <c r="N57" s="254">
        <f>'I2'!O46+'I2'!P46</f>
        <v>4</v>
      </c>
      <c r="O57" s="254">
        <f>'I2'!Q46+'I2'!R46</f>
        <v>11</v>
      </c>
      <c r="P57" s="250">
        <f>SUMIF('BL-2'!$C$20:$L$20,"*",'IAT-2'!F57:O57)</f>
        <v>0</v>
      </c>
      <c r="Q57" s="269">
        <f t="shared" si="0"/>
        <v>0</v>
      </c>
      <c r="R57" s="250">
        <f>SUMIF('BL-2'!$C$21:$L$21,"*",'IAT-2'!F57:O57)</f>
        <v>0</v>
      </c>
      <c r="S57" s="270">
        <f t="shared" si="1"/>
        <v>0</v>
      </c>
      <c r="T57" s="250">
        <f>SUMIF('BL-2'!$C$22:$L$22,"*",'IAT-2'!F57:O57)</f>
        <v>5</v>
      </c>
      <c r="U57" s="270">
        <f t="shared" si="2"/>
        <v>55.6</v>
      </c>
      <c r="V57" s="250">
        <f>SUMIF('BL-2'!$C$23:$L$23,"ü",'IAT-2'!F57:O57)</f>
        <v>4</v>
      </c>
      <c r="W57" s="270">
        <f t="shared" si="3"/>
        <v>22.2</v>
      </c>
      <c r="X57" s="250">
        <f>SUMIF('BL-2'!$C$24:$L$24,"*",'IAT-2'!F57:O57)</f>
        <v>19</v>
      </c>
      <c r="Y57" s="254">
        <f t="shared" si="4"/>
        <v>82.6</v>
      </c>
      <c r="Z57" s="4">
        <f t="shared" si="5"/>
        <v>28</v>
      </c>
      <c r="AA57" s="4">
        <f t="shared" si="6"/>
        <v>56</v>
      </c>
    </row>
    <row r="58" spans="2:27" x14ac:dyDescent="0.25">
      <c r="B58" s="265">
        <v>33</v>
      </c>
      <c r="C58" s="266">
        <f>'IAT-1'!C58</f>
        <v>951323243033</v>
      </c>
      <c r="D58" s="267" t="str">
        <f>'IAT-1'!D58</f>
        <v>LIJO DURAISINGH V S</v>
      </c>
      <c r="E58" s="252"/>
      <c r="F58" s="253">
        <f>'I2'!D47</f>
        <v>1</v>
      </c>
      <c r="G58" s="268">
        <f>'I2'!E47</f>
        <v>2</v>
      </c>
      <c r="H58" s="268">
        <f>'I2'!F47</f>
        <v>2</v>
      </c>
      <c r="I58" s="268">
        <f>'I2'!G47</f>
        <v>2</v>
      </c>
      <c r="J58" s="268">
        <f>'I2'!H47</f>
        <v>1</v>
      </c>
      <c r="K58" s="254">
        <f>'I2'!I47+'I2'!J47</f>
        <v>4</v>
      </c>
      <c r="L58" s="254">
        <f>'I2'!K47+'I2'!L47</f>
        <v>0</v>
      </c>
      <c r="M58" s="254">
        <f>'I2'!M47+'I2'!N47</f>
        <v>0</v>
      </c>
      <c r="N58" s="254">
        <f>'I2'!O47+'I2'!P47</f>
        <v>6</v>
      </c>
      <c r="O58" s="254">
        <f>'I2'!Q47+'I2'!R47</f>
        <v>10</v>
      </c>
      <c r="P58" s="250">
        <f>SUMIF('BL-2'!$C$20:$L$20,"*",'IAT-2'!F58:O58)</f>
        <v>0</v>
      </c>
      <c r="Q58" s="269">
        <f t="shared" si="0"/>
        <v>0</v>
      </c>
      <c r="R58" s="250">
        <f>SUMIF('BL-2'!$C$21:$L$21,"*",'IAT-2'!F58:O58)</f>
        <v>0</v>
      </c>
      <c r="S58" s="270">
        <f t="shared" si="1"/>
        <v>0</v>
      </c>
      <c r="T58" s="250">
        <f>SUMIF('BL-2'!$C$22:$L$22,"*",'IAT-2'!F58:O58)</f>
        <v>5</v>
      </c>
      <c r="U58" s="270">
        <f t="shared" si="2"/>
        <v>55.6</v>
      </c>
      <c r="V58" s="250">
        <f>SUMIF('BL-2'!$C$23:$L$23,"ü",'IAT-2'!F58:O58)</f>
        <v>4</v>
      </c>
      <c r="W58" s="270">
        <f t="shared" si="3"/>
        <v>22.2</v>
      </c>
      <c r="X58" s="250">
        <f>SUMIF('BL-2'!$C$24:$L$24,"*",'IAT-2'!F58:O58)</f>
        <v>19</v>
      </c>
      <c r="Y58" s="254">
        <f t="shared" si="4"/>
        <v>82.6</v>
      </c>
      <c r="Z58" s="4">
        <f t="shared" si="5"/>
        <v>28</v>
      </c>
      <c r="AA58" s="4">
        <f t="shared" si="6"/>
        <v>56</v>
      </c>
    </row>
    <row r="59" spans="2:27" x14ac:dyDescent="0.25">
      <c r="B59" s="265">
        <v>34</v>
      </c>
      <c r="C59" s="266">
        <f>'IAT-1'!C59</f>
        <v>951323243034</v>
      </c>
      <c r="D59" s="267" t="str">
        <f>'IAT-1'!D59</f>
        <v>LOVISAL JOY K</v>
      </c>
      <c r="E59" s="252"/>
      <c r="F59" s="253">
        <f>'I2'!D48</f>
        <v>2</v>
      </c>
      <c r="G59" s="268">
        <f>'I2'!E48</f>
        <v>1</v>
      </c>
      <c r="H59" s="268">
        <f>'I2'!F48</f>
        <v>2</v>
      </c>
      <c r="I59" s="268">
        <f>'I2'!G48</f>
        <v>2</v>
      </c>
      <c r="J59" s="268">
        <f>'I2'!H48</f>
        <v>1</v>
      </c>
      <c r="K59" s="254">
        <f>'I2'!I48+'I2'!J48</f>
        <v>7</v>
      </c>
      <c r="L59" s="254">
        <f>'I2'!K48+'I2'!L48</f>
        <v>6</v>
      </c>
      <c r="M59" s="254">
        <f>'I2'!M48+'I2'!N48</f>
        <v>5</v>
      </c>
      <c r="N59" s="254">
        <f>'I2'!O48+'I2'!P48</f>
        <v>6</v>
      </c>
      <c r="O59" s="254">
        <f>'I2'!Q48+'I2'!R48</f>
        <v>11</v>
      </c>
      <c r="P59" s="250">
        <f>SUMIF('BL-2'!$C$20:$L$20,"*",'IAT-2'!F59:O59)</f>
        <v>0</v>
      </c>
      <c r="Q59" s="269">
        <f t="shared" si="0"/>
        <v>0</v>
      </c>
      <c r="R59" s="250">
        <f>SUMIF('BL-2'!$C$21:$L$21,"*",'IAT-2'!F59:O59)</f>
        <v>0</v>
      </c>
      <c r="S59" s="270">
        <f t="shared" si="1"/>
        <v>0</v>
      </c>
      <c r="T59" s="250">
        <f>SUMIF('BL-2'!$C$22:$L$22,"*",'IAT-2'!F59:O59)</f>
        <v>9</v>
      </c>
      <c r="U59" s="270">
        <f t="shared" si="2"/>
        <v>100</v>
      </c>
      <c r="V59" s="250">
        <f>SUMIF('BL-2'!$C$23:$L$23,"ü",'IAT-2'!F59:O59)</f>
        <v>14</v>
      </c>
      <c r="W59" s="270">
        <f t="shared" si="3"/>
        <v>77.8</v>
      </c>
      <c r="X59" s="250">
        <f>SUMIF('BL-2'!$C$24:$L$24,"*",'IAT-2'!F59:O59)</f>
        <v>20</v>
      </c>
      <c r="Y59" s="254">
        <f t="shared" si="4"/>
        <v>87</v>
      </c>
      <c r="Z59" s="4">
        <f t="shared" si="5"/>
        <v>43</v>
      </c>
      <c r="AA59" s="4">
        <f t="shared" si="6"/>
        <v>86</v>
      </c>
    </row>
    <row r="60" spans="2:27" x14ac:dyDescent="0.25">
      <c r="B60" s="265">
        <v>35</v>
      </c>
      <c r="C60" s="266">
        <f>'IAT-1'!C60</f>
        <v>951323243035</v>
      </c>
      <c r="D60" s="267" t="str">
        <f>'IAT-1'!D60</f>
        <v>MAGESH GOWRI S</v>
      </c>
      <c r="E60" s="252"/>
      <c r="F60" s="253">
        <f>'I2'!D49</f>
        <v>2</v>
      </c>
      <c r="G60" s="268">
        <f>'I2'!E49</f>
        <v>1</v>
      </c>
      <c r="H60" s="268">
        <f>'I2'!F49</f>
        <v>2</v>
      </c>
      <c r="I60" s="268">
        <f>'I2'!G49</f>
        <v>2</v>
      </c>
      <c r="J60" s="268">
        <f>'I2'!H49</f>
        <v>2</v>
      </c>
      <c r="K60" s="254">
        <f>'I2'!I49+'I2'!J49</f>
        <v>6</v>
      </c>
      <c r="L60" s="254">
        <f>'I2'!K49+'I2'!L49</f>
        <v>6</v>
      </c>
      <c r="M60" s="254">
        <f>'I2'!M49+'I2'!N49</f>
        <v>7</v>
      </c>
      <c r="N60" s="254">
        <f>'I2'!O49+'I2'!P49</f>
        <v>0</v>
      </c>
      <c r="O60" s="254">
        <f>'I2'!Q49+'I2'!R49</f>
        <v>12</v>
      </c>
      <c r="P60" s="250">
        <f>SUMIF('BL-2'!$C$20:$L$20,"*",'IAT-2'!F60:O60)</f>
        <v>0</v>
      </c>
      <c r="Q60" s="269">
        <f t="shared" si="0"/>
        <v>0</v>
      </c>
      <c r="R60" s="250">
        <f>SUMIF('BL-2'!$C$21:$L$21,"*",'IAT-2'!F60:O60)</f>
        <v>0</v>
      </c>
      <c r="S60" s="270">
        <f t="shared" si="1"/>
        <v>0</v>
      </c>
      <c r="T60" s="250">
        <f>SUMIF('BL-2'!$C$22:$L$22,"*",'IAT-2'!F60:O60)</f>
        <v>8</v>
      </c>
      <c r="U60" s="270">
        <f t="shared" si="2"/>
        <v>88.9</v>
      </c>
      <c r="V60" s="250">
        <f>SUMIF('BL-2'!$C$23:$L$23,"ü",'IAT-2'!F60:O60)</f>
        <v>16</v>
      </c>
      <c r="W60" s="270">
        <f t="shared" si="3"/>
        <v>88.9</v>
      </c>
      <c r="X60" s="250">
        <f>SUMIF('BL-2'!$C$24:$L$24,"*",'IAT-2'!F60:O60)</f>
        <v>16</v>
      </c>
      <c r="Y60" s="254">
        <f t="shared" si="4"/>
        <v>69.599999999999994</v>
      </c>
      <c r="Z60" s="4">
        <f t="shared" si="5"/>
        <v>40</v>
      </c>
      <c r="AA60" s="4">
        <f t="shared" si="6"/>
        <v>80</v>
      </c>
    </row>
    <row r="61" spans="2:27" x14ac:dyDescent="0.25">
      <c r="B61" s="265">
        <v>36</v>
      </c>
      <c r="C61" s="266">
        <f>'IAT-1'!C61</f>
        <v>951323243036</v>
      </c>
      <c r="D61" s="267" t="str">
        <f>'IAT-1'!D61</f>
        <v>MARIMUTHU S</v>
      </c>
      <c r="E61" s="252"/>
      <c r="F61" s="253">
        <f>'I2'!D50</f>
        <v>2</v>
      </c>
      <c r="G61" s="268">
        <f>'I2'!E50</f>
        <v>2</v>
      </c>
      <c r="H61" s="268">
        <f>'I2'!F50</f>
        <v>1</v>
      </c>
      <c r="I61" s="268">
        <f>'I2'!G50</f>
        <v>2</v>
      </c>
      <c r="J61" s="268">
        <f>'I2'!H50</f>
        <v>2</v>
      </c>
      <c r="K61" s="254">
        <f>'I2'!I50+'I2'!J50</f>
        <v>0</v>
      </c>
      <c r="L61" s="254">
        <f>'I2'!K50+'I2'!L50</f>
        <v>0</v>
      </c>
      <c r="M61" s="254">
        <f>'I2'!M50+'I2'!N50</f>
        <v>0</v>
      </c>
      <c r="N61" s="254">
        <f>'I2'!O50+'I2'!P50</f>
        <v>4</v>
      </c>
      <c r="O61" s="254">
        <f>'I2'!Q50+'I2'!R50</f>
        <v>9</v>
      </c>
      <c r="P61" s="250">
        <f>SUMIF('BL-2'!$C$20:$L$20,"*",'IAT-2'!F61:O61)</f>
        <v>0</v>
      </c>
      <c r="Q61" s="269">
        <f t="shared" si="0"/>
        <v>0</v>
      </c>
      <c r="R61" s="250">
        <f>SUMIF('BL-2'!$C$21:$L$21,"*",'IAT-2'!F61:O61)</f>
        <v>0</v>
      </c>
      <c r="S61" s="270">
        <f t="shared" si="1"/>
        <v>0</v>
      </c>
      <c r="T61" s="250">
        <f>SUMIF('BL-2'!$C$22:$L$22,"*",'IAT-2'!F61:O61)</f>
        <v>2</v>
      </c>
      <c r="U61" s="270">
        <f t="shared" si="2"/>
        <v>22.2</v>
      </c>
      <c r="V61" s="250">
        <f>SUMIF('BL-2'!$C$23:$L$23,"ü",'IAT-2'!F61:O61)</f>
        <v>3</v>
      </c>
      <c r="W61" s="270">
        <f t="shared" si="3"/>
        <v>16.7</v>
      </c>
      <c r="X61" s="250">
        <f>SUMIF('BL-2'!$C$24:$L$24,"*",'IAT-2'!F61:O61)</f>
        <v>17</v>
      </c>
      <c r="Y61" s="254">
        <f t="shared" si="4"/>
        <v>73.900000000000006</v>
      </c>
      <c r="Z61" s="4">
        <f t="shared" si="5"/>
        <v>22</v>
      </c>
      <c r="AA61" s="4">
        <f t="shared" si="6"/>
        <v>44</v>
      </c>
    </row>
    <row r="62" spans="2:27" x14ac:dyDescent="0.25">
      <c r="B62" s="265">
        <v>37</v>
      </c>
      <c r="C62" s="266">
        <f>'IAT-1'!C62</f>
        <v>951323243037</v>
      </c>
      <c r="D62" s="267" t="str">
        <f>'IAT-1'!D62</f>
        <v>MARIYA FATHIMA JEYARANI R</v>
      </c>
      <c r="E62" s="252"/>
      <c r="F62" s="253">
        <f>'I2'!D51</f>
        <v>2</v>
      </c>
      <c r="G62" s="268">
        <f>'I2'!E51</f>
        <v>1</v>
      </c>
      <c r="H62" s="268">
        <f>'I2'!F51</f>
        <v>1</v>
      </c>
      <c r="I62" s="268">
        <f>'I2'!G51</f>
        <v>2</v>
      </c>
      <c r="J62" s="268">
        <f>'I2'!H51</f>
        <v>1</v>
      </c>
      <c r="K62" s="254">
        <f>'I2'!I51+'I2'!J51</f>
        <v>6</v>
      </c>
      <c r="L62" s="254">
        <f>'I2'!K51+'I2'!L51</f>
        <v>4</v>
      </c>
      <c r="M62" s="254">
        <f>'I2'!M51+'I2'!N51</f>
        <v>6</v>
      </c>
      <c r="N62" s="254">
        <f>'I2'!O51+'I2'!P51</f>
        <v>6</v>
      </c>
      <c r="O62" s="254">
        <f>'I2'!Q51+'I2'!R51</f>
        <v>7</v>
      </c>
      <c r="P62" s="250">
        <f>SUMIF('BL-2'!$C$20:$L$20,"*",'IAT-2'!F62:O62)</f>
        <v>0</v>
      </c>
      <c r="Q62" s="269">
        <f t="shared" si="0"/>
        <v>0</v>
      </c>
      <c r="R62" s="250">
        <f>SUMIF('BL-2'!$C$21:$L$21,"*",'IAT-2'!F62:O62)</f>
        <v>0</v>
      </c>
      <c r="S62" s="270">
        <f t="shared" si="1"/>
        <v>0</v>
      </c>
      <c r="T62" s="250">
        <f>SUMIF('BL-2'!$C$22:$L$22,"*",'IAT-2'!F62:O62)</f>
        <v>8</v>
      </c>
      <c r="U62" s="270">
        <f t="shared" si="2"/>
        <v>88.9</v>
      </c>
      <c r="V62" s="250">
        <f>SUMIF('BL-2'!$C$23:$L$23,"ü",'IAT-2'!F62:O62)</f>
        <v>12</v>
      </c>
      <c r="W62" s="270">
        <f t="shared" si="3"/>
        <v>66.7</v>
      </c>
      <c r="X62" s="250">
        <f>SUMIF('BL-2'!$C$24:$L$24,"*",'IAT-2'!F62:O62)</f>
        <v>16</v>
      </c>
      <c r="Y62" s="254">
        <f t="shared" si="4"/>
        <v>69.599999999999994</v>
      </c>
      <c r="Z62" s="4">
        <f t="shared" si="5"/>
        <v>36</v>
      </c>
      <c r="AA62" s="4">
        <f t="shared" si="6"/>
        <v>72</v>
      </c>
    </row>
    <row r="63" spans="2:27" x14ac:dyDescent="0.25">
      <c r="B63" s="265">
        <v>38</v>
      </c>
      <c r="C63" s="266">
        <f>'IAT-1'!C63</f>
        <v>951323243038</v>
      </c>
      <c r="D63" s="267" t="str">
        <f>'IAT-1'!D63</f>
        <v>MARTIN PRISCA D</v>
      </c>
      <c r="E63" s="252"/>
      <c r="F63" s="253">
        <f>'I2'!D52</f>
        <v>2</v>
      </c>
      <c r="G63" s="268">
        <f>'I2'!E52</f>
        <v>1</v>
      </c>
      <c r="H63" s="268">
        <f>'I2'!F52</f>
        <v>2</v>
      </c>
      <c r="I63" s="268">
        <f>'I2'!G52</f>
        <v>1</v>
      </c>
      <c r="J63" s="268">
        <f>'I2'!H52</f>
        <v>2</v>
      </c>
      <c r="K63" s="254">
        <f>'I2'!I52+'I2'!J52</f>
        <v>4</v>
      </c>
      <c r="L63" s="254">
        <f>'I2'!K52+'I2'!L52</f>
        <v>0</v>
      </c>
      <c r="M63" s="254">
        <f>'I2'!M52+'I2'!N52</f>
        <v>7</v>
      </c>
      <c r="N63" s="254">
        <f>'I2'!O52+'I2'!P52</f>
        <v>0</v>
      </c>
      <c r="O63" s="254">
        <f>'I2'!Q52+'I2'!R52</f>
        <v>11</v>
      </c>
      <c r="P63" s="250">
        <f>SUMIF('BL-2'!$C$20:$L$20,"*",'IAT-2'!F63:O63)</f>
        <v>0</v>
      </c>
      <c r="Q63" s="269">
        <f t="shared" si="0"/>
        <v>0</v>
      </c>
      <c r="R63" s="250">
        <f>SUMIF('BL-2'!$C$21:$L$21,"*",'IAT-2'!F63:O63)</f>
        <v>0</v>
      </c>
      <c r="S63" s="270">
        <f t="shared" si="1"/>
        <v>0</v>
      </c>
      <c r="T63" s="250">
        <f>SUMIF('BL-2'!$C$22:$L$22,"*",'IAT-2'!F63:O63)</f>
        <v>6</v>
      </c>
      <c r="U63" s="270">
        <f t="shared" si="2"/>
        <v>66.7</v>
      </c>
      <c r="V63" s="250">
        <f>SUMIF('BL-2'!$C$23:$L$23,"ü",'IAT-2'!F63:O63)</f>
        <v>10</v>
      </c>
      <c r="W63" s="270">
        <f t="shared" si="3"/>
        <v>55.6</v>
      </c>
      <c r="X63" s="250">
        <f>SUMIF('BL-2'!$C$24:$L$24,"*",'IAT-2'!F63:O63)</f>
        <v>14</v>
      </c>
      <c r="Y63" s="254">
        <f t="shared" si="4"/>
        <v>60.9</v>
      </c>
      <c r="Z63" s="4">
        <f t="shared" si="5"/>
        <v>30</v>
      </c>
      <c r="AA63" s="4">
        <f t="shared" si="6"/>
        <v>60</v>
      </c>
    </row>
    <row r="64" spans="2:27" x14ac:dyDescent="0.25">
      <c r="B64" s="265">
        <v>39</v>
      </c>
      <c r="C64" s="266">
        <f>'IAT-1'!C64</f>
        <v>951323243039</v>
      </c>
      <c r="D64" s="267" t="str">
        <f>'IAT-1'!D64</f>
        <v>MERLIN HEPSIBA K</v>
      </c>
      <c r="E64" s="252"/>
      <c r="F64" s="253">
        <f>'I2'!D53</f>
        <v>1</v>
      </c>
      <c r="G64" s="268">
        <f>'I2'!E53</f>
        <v>1</v>
      </c>
      <c r="H64" s="268">
        <f>'I2'!F53</f>
        <v>1</v>
      </c>
      <c r="I64" s="268">
        <f>'I2'!G53</f>
        <v>1</v>
      </c>
      <c r="J64" s="268">
        <f>'I2'!H53</f>
        <v>1</v>
      </c>
      <c r="K64" s="254">
        <f>'I2'!I53+'I2'!J53</f>
        <v>7</v>
      </c>
      <c r="L64" s="254">
        <f>'I2'!K53+'I2'!L53</f>
        <v>7</v>
      </c>
      <c r="M64" s="254">
        <f>'I2'!M53+'I2'!N53</f>
        <v>7</v>
      </c>
      <c r="N64" s="254">
        <f>'I2'!O53+'I2'!P53</f>
        <v>7</v>
      </c>
      <c r="O64" s="254">
        <f>'I2'!Q53+'I2'!R53</f>
        <v>12</v>
      </c>
      <c r="P64" s="250">
        <f>SUMIF('BL-2'!$C$20:$L$20,"*",'IAT-2'!F64:O64)</f>
        <v>0</v>
      </c>
      <c r="Q64" s="269">
        <f t="shared" si="0"/>
        <v>0</v>
      </c>
      <c r="R64" s="250">
        <f>SUMIF('BL-2'!$C$21:$L$21,"*",'IAT-2'!F64:O64)</f>
        <v>0</v>
      </c>
      <c r="S64" s="270">
        <f t="shared" si="1"/>
        <v>0</v>
      </c>
      <c r="T64" s="250">
        <f>SUMIF('BL-2'!$C$22:$L$22,"*",'IAT-2'!F64:O64)</f>
        <v>8</v>
      </c>
      <c r="U64" s="270">
        <f t="shared" si="2"/>
        <v>88.9</v>
      </c>
      <c r="V64" s="250">
        <f>SUMIF('BL-2'!$C$23:$L$23,"ü",'IAT-2'!F64:O64)</f>
        <v>16</v>
      </c>
      <c r="W64" s="270">
        <f t="shared" si="3"/>
        <v>88.9</v>
      </c>
      <c r="X64" s="250">
        <f>SUMIF('BL-2'!$C$24:$L$24,"*",'IAT-2'!F64:O64)</f>
        <v>21</v>
      </c>
      <c r="Y64" s="254">
        <f t="shared" si="4"/>
        <v>91.3</v>
      </c>
      <c r="Z64" s="4">
        <f t="shared" si="5"/>
        <v>45</v>
      </c>
      <c r="AA64" s="4">
        <f t="shared" si="6"/>
        <v>90</v>
      </c>
    </row>
    <row r="65" spans="2:27" x14ac:dyDescent="0.25">
      <c r="B65" s="265">
        <v>40</v>
      </c>
      <c r="C65" s="266">
        <f>'IAT-1'!C65</f>
        <v>951323243042</v>
      </c>
      <c r="D65" s="267" t="str">
        <f>'IAT-1'!D65</f>
        <v>MUTHUPRASANNA M</v>
      </c>
      <c r="E65" s="252"/>
      <c r="F65" s="253">
        <f>'I2'!D54</f>
        <v>2</v>
      </c>
      <c r="G65" s="268">
        <f>'I2'!E54</f>
        <v>2</v>
      </c>
      <c r="H65" s="268">
        <f>'I2'!F54</f>
        <v>2</v>
      </c>
      <c r="I65" s="268">
        <f>'I2'!G54</f>
        <v>2</v>
      </c>
      <c r="J65" s="268">
        <f>'I2'!H54</f>
        <v>2</v>
      </c>
      <c r="K65" s="254">
        <f>'I2'!I54+'I2'!J54</f>
        <v>7</v>
      </c>
      <c r="L65" s="254">
        <f>'I2'!K54+'I2'!L54</f>
        <v>6</v>
      </c>
      <c r="M65" s="254">
        <f>'I2'!M54+'I2'!N54</f>
        <v>6</v>
      </c>
      <c r="N65" s="254">
        <f>'I2'!O54+'I2'!P54</f>
        <v>6</v>
      </c>
      <c r="O65" s="254">
        <f>'I2'!Q54+'I2'!R54</f>
        <v>12</v>
      </c>
      <c r="P65" s="250">
        <f>SUMIF('BL-2'!$C$20:$L$20,"*",'IAT-2'!F65:O65)</f>
        <v>0</v>
      </c>
      <c r="Q65" s="269">
        <f t="shared" si="0"/>
        <v>0</v>
      </c>
      <c r="R65" s="250">
        <f>SUMIF('BL-2'!$C$21:$L$21,"*",'IAT-2'!F65:O65)</f>
        <v>0</v>
      </c>
      <c r="S65" s="270">
        <f t="shared" si="1"/>
        <v>0</v>
      </c>
      <c r="T65" s="250">
        <f>SUMIF('BL-2'!$C$22:$L$22,"*",'IAT-2'!F65:O65)</f>
        <v>9</v>
      </c>
      <c r="U65" s="270">
        <f t="shared" si="2"/>
        <v>100</v>
      </c>
      <c r="V65" s="250">
        <f>SUMIF('BL-2'!$C$23:$L$23,"ü",'IAT-2'!F65:O65)</f>
        <v>16</v>
      </c>
      <c r="W65" s="270">
        <f t="shared" si="3"/>
        <v>88.9</v>
      </c>
      <c r="X65" s="250">
        <f>SUMIF('BL-2'!$C$24:$L$24,"*",'IAT-2'!F65:O65)</f>
        <v>22</v>
      </c>
      <c r="Y65" s="254">
        <f t="shared" si="4"/>
        <v>95.7</v>
      </c>
      <c r="Z65" s="4">
        <f t="shared" si="5"/>
        <v>47</v>
      </c>
      <c r="AA65" s="4">
        <f t="shared" si="6"/>
        <v>94</v>
      </c>
    </row>
    <row r="66" spans="2:27" x14ac:dyDescent="0.25">
      <c r="B66" s="265">
        <v>41</v>
      </c>
      <c r="C66" s="266">
        <f>'IAT-1'!C66</f>
        <v>951323243043</v>
      </c>
      <c r="D66" s="267" t="str">
        <f>'IAT-1'!D66</f>
        <v>MUTHURAJ M</v>
      </c>
      <c r="E66" s="252"/>
      <c r="F66" s="253">
        <f>'I2'!D55</f>
        <v>2</v>
      </c>
      <c r="G66" s="268">
        <f>'I2'!E55</f>
        <v>2</v>
      </c>
      <c r="H66" s="268">
        <f>'I2'!F55</f>
        <v>1</v>
      </c>
      <c r="I66" s="268">
        <f>'I2'!G55</f>
        <v>2</v>
      </c>
      <c r="J66" s="268">
        <f>'I2'!H55</f>
        <v>2</v>
      </c>
      <c r="K66" s="254">
        <f>'I2'!I55+'I2'!J55</f>
        <v>0</v>
      </c>
      <c r="L66" s="254">
        <f>'I2'!K55+'I2'!L55</f>
        <v>0</v>
      </c>
      <c r="M66" s="254">
        <f>'I2'!M55+'I2'!N55</f>
        <v>0</v>
      </c>
      <c r="N66" s="254">
        <f>'I2'!O55+'I2'!P55</f>
        <v>4</v>
      </c>
      <c r="O66" s="254">
        <f>'I2'!Q55+'I2'!R55</f>
        <v>9</v>
      </c>
      <c r="P66" s="250">
        <f>SUMIF('BL-2'!$C$20:$L$20,"*",'IAT-2'!F66:O66)</f>
        <v>0</v>
      </c>
      <c r="Q66" s="269">
        <f t="shared" si="0"/>
        <v>0</v>
      </c>
      <c r="R66" s="250">
        <f>SUMIF('BL-2'!$C$21:$L$21,"*",'IAT-2'!F66:O66)</f>
        <v>0</v>
      </c>
      <c r="S66" s="270">
        <f t="shared" si="1"/>
        <v>0</v>
      </c>
      <c r="T66" s="250">
        <f>SUMIF('BL-2'!$C$22:$L$22,"*",'IAT-2'!F66:O66)</f>
        <v>2</v>
      </c>
      <c r="U66" s="270">
        <f t="shared" si="2"/>
        <v>22.2</v>
      </c>
      <c r="V66" s="250">
        <f>SUMIF('BL-2'!$C$23:$L$23,"ü",'IAT-2'!F66:O66)</f>
        <v>3</v>
      </c>
      <c r="W66" s="270">
        <f t="shared" si="3"/>
        <v>16.7</v>
      </c>
      <c r="X66" s="250">
        <f>SUMIF('BL-2'!$C$24:$L$24,"*",'IAT-2'!F66:O66)</f>
        <v>17</v>
      </c>
      <c r="Y66" s="254">
        <f t="shared" si="4"/>
        <v>73.900000000000006</v>
      </c>
      <c r="Z66" s="4">
        <f t="shared" si="5"/>
        <v>22</v>
      </c>
      <c r="AA66" s="4">
        <f t="shared" si="6"/>
        <v>44</v>
      </c>
    </row>
    <row r="67" spans="2:27" x14ac:dyDescent="0.25">
      <c r="B67" s="265">
        <v>42</v>
      </c>
      <c r="C67" s="266">
        <f>'IAT-1'!C67</f>
        <v>951323243045</v>
      </c>
      <c r="D67" s="267" t="str">
        <f>'IAT-1'!D67</f>
        <v>PONKEERTHANA B</v>
      </c>
      <c r="E67" s="252"/>
      <c r="F67" s="253">
        <f>'I2'!D56</f>
        <v>2</v>
      </c>
      <c r="G67" s="268">
        <f>'I2'!E56</f>
        <v>1</v>
      </c>
      <c r="H67" s="268">
        <f>'I2'!F56</f>
        <v>2</v>
      </c>
      <c r="I67" s="268">
        <f>'I2'!G56</f>
        <v>2</v>
      </c>
      <c r="J67" s="268">
        <f>'I2'!H56</f>
        <v>2</v>
      </c>
      <c r="K67" s="254">
        <f>'I2'!I56+'I2'!J56</f>
        <v>1</v>
      </c>
      <c r="L67" s="254">
        <f>'I2'!K56+'I2'!L56</f>
        <v>0</v>
      </c>
      <c r="M67" s="254">
        <f>'I2'!M56+'I2'!N56</f>
        <v>0</v>
      </c>
      <c r="N67" s="254">
        <f>'I2'!O56+'I2'!P56</f>
        <v>6</v>
      </c>
      <c r="O67" s="254">
        <f>'I2'!Q56+'I2'!R56</f>
        <v>12</v>
      </c>
      <c r="P67" s="250">
        <f>SUMIF('BL-2'!$C$20:$L$20,"*",'IAT-2'!F67:O67)</f>
        <v>0</v>
      </c>
      <c r="Q67" s="269">
        <f t="shared" si="0"/>
        <v>0</v>
      </c>
      <c r="R67" s="250">
        <f>SUMIF('BL-2'!$C$21:$L$21,"*",'IAT-2'!F67:O67)</f>
        <v>0</v>
      </c>
      <c r="S67" s="270">
        <f t="shared" si="1"/>
        <v>0</v>
      </c>
      <c r="T67" s="250">
        <f>SUMIF('BL-2'!$C$22:$L$22,"*",'IAT-2'!F67:O67)</f>
        <v>3</v>
      </c>
      <c r="U67" s="270">
        <f t="shared" si="2"/>
        <v>33.299999999999997</v>
      </c>
      <c r="V67" s="250">
        <f>SUMIF('BL-2'!$C$23:$L$23,"ü",'IAT-2'!F67:O67)</f>
        <v>3</v>
      </c>
      <c r="W67" s="270">
        <f t="shared" si="3"/>
        <v>16.7</v>
      </c>
      <c r="X67" s="250">
        <f>SUMIF('BL-2'!$C$24:$L$24,"*",'IAT-2'!F67:O67)</f>
        <v>22</v>
      </c>
      <c r="Y67" s="254">
        <f t="shared" si="4"/>
        <v>95.7</v>
      </c>
      <c r="Z67" s="4">
        <f t="shared" si="5"/>
        <v>28</v>
      </c>
      <c r="AA67" s="4">
        <f t="shared" si="6"/>
        <v>56</v>
      </c>
    </row>
    <row r="68" spans="2:27" x14ac:dyDescent="0.25">
      <c r="B68" s="265">
        <v>43</v>
      </c>
      <c r="C68" s="266">
        <f>'IAT-1'!C68</f>
        <v>951323243046</v>
      </c>
      <c r="D68" s="267" t="str">
        <f>'IAT-1'!D68</f>
        <v>POORANATRIFFIE P</v>
      </c>
      <c r="E68" s="252"/>
      <c r="F68" s="253">
        <f>'I2'!D57</f>
        <v>1</v>
      </c>
      <c r="G68" s="268">
        <f>'I2'!E57</f>
        <v>1</v>
      </c>
      <c r="H68" s="268">
        <f>'I2'!F57</f>
        <v>2</v>
      </c>
      <c r="I68" s="268">
        <f>'I2'!G57</f>
        <v>2</v>
      </c>
      <c r="J68" s="268">
        <f>'I2'!H57</f>
        <v>1</v>
      </c>
      <c r="K68" s="254">
        <f>'I2'!I57+'I2'!J57</f>
        <v>4</v>
      </c>
      <c r="L68" s="254">
        <f>'I2'!K57+'I2'!L57</f>
        <v>6</v>
      </c>
      <c r="M68" s="254">
        <f>'I2'!M57+'I2'!N57</f>
        <v>5</v>
      </c>
      <c r="N68" s="254">
        <f>'I2'!O57+'I2'!P57</f>
        <v>6</v>
      </c>
      <c r="O68" s="254">
        <f>'I2'!Q57+'I2'!R57</f>
        <v>12</v>
      </c>
      <c r="P68" s="250">
        <f>SUMIF('BL-2'!$C$20:$L$20,"*",'IAT-2'!F68:O68)</f>
        <v>0</v>
      </c>
      <c r="Q68" s="269">
        <f t="shared" si="0"/>
        <v>0</v>
      </c>
      <c r="R68" s="250">
        <f>SUMIF('BL-2'!$C$21:$L$21,"*",'IAT-2'!F68:O68)</f>
        <v>0</v>
      </c>
      <c r="S68" s="270">
        <f t="shared" si="1"/>
        <v>0</v>
      </c>
      <c r="T68" s="250">
        <f>SUMIF('BL-2'!$C$22:$L$22,"*",'IAT-2'!F68:O68)</f>
        <v>5</v>
      </c>
      <c r="U68" s="270">
        <f t="shared" si="2"/>
        <v>55.6</v>
      </c>
      <c r="V68" s="250">
        <f>SUMIF('BL-2'!$C$23:$L$23,"ü",'IAT-2'!F68:O68)</f>
        <v>14</v>
      </c>
      <c r="W68" s="270">
        <f t="shared" si="3"/>
        <v>77.8</v>
      </c>
      <c r="X68" s="250">
        <f>SUMIF('BL-2'!$C$24:$L$24,"*",'IAT-2'!F68:O68)</f>
        <v>21</v>
      </c>
      <c r="Y68" s="254">
        <f t="shared" si="4"/>
        <v>91.3</v>
      </c>
      <c r="Z68" s="4">
        <f t="shared" si="5"/>
        <v>40</v>
      </c>
      <c r="AA68" s="4">
        <f t="shared" si="6"/>
        <v>80</v>
      </c>
    </row>
    <row r="69" spans="2:27" x14ac:dyDescent="0.25">
      <c r="B69" s="265">
        <v>44</v>
      </c>
      <c r="C69" s="266">
        <f>'IAT-1'!C69</f>
        <v>951323243047</v>
      </c>
      <c r="D69" s="267" t="str">
        <f>'IAT-1'!D69</f>
        <v>RACKLAND T</v>
      </c>
      <c r="E69" s="252"/>
      <c r="F69" s="253">
        <f>'I2'!D58</f>
        <v>2</v>
      </c>
      <c r="G69" s="268">
        <f>'I2'!E58</f>
        <v>2</v>
      </c>
      <c r="H69" s="268">
        <f>'I2'!F58</f>
        <v>1</v>
      </c>
      <c r="I69" s="268">
        <f>'I2'!G58</f>
        <v>2</v>
      </c>
      <c r="J69" s="268">
        <f>'I2'!H58</f>
        <v>2</v>
      </c>
      <c r="K69" s="254">
        <f>'I2'!I58+'I2'!J58</f>
        <v>5</v>
      </c>
      <c r="L69" s="254">
        <f>'I2'!K58+'I2'!L58</f>
        <v>0</v>
      </c>
      <c r="M69" s="254">
        <f>'I2'!M58+'I2'!N58</f>
        <v>0</v>
      </c>
      <c r="N69" s="254">
        <f>'I2'!O58+'I2'!P58</f>
        <v>2</v>
      </c>
      <c r="O69" s="254">
        <f>'I2'!Q58+'I2'!R58</f>
        <v>11</v>
      </c>
      <c r="P69" s="250">
        <f>SUMIF('BL-2'!$C$20:$L$20,"*",'IAT-2'!F69:O69)</f>
        <v>0</v>
      </c>
      <c r="Q69" s="269">
        <f t="shared" si="0"/>
        <v>0</v>
      </c>
      <c r="R69" s="250">
        <f>SUMIF('BL-2'!$C$21:$L$21,"*",'IAT-2'!F69:O69)</f>
        <v>0</v>
      </c>
      <c r="S69" s="270">
        <f t="shared" si="1"/>
        <v>0</v>
      </c>
      <c r="T69" s="250">
        <f>SUMIF('BL-2'!$C$22:$L$22,"*",'IAT-2'!F69:O69)</f>
        <v>7</v>
      </c>
      <c r="U69" s="270">
        <f t="shared" si="2"/>
        <v>77.8</v>
      </c>
      <c r="V69" s="250">
        <f>SUMIF('BL-2'!$C$23:$L$23,"ü",'IAT-2'!F69:O69)</f>
        <v>3</v>
      </c>
      <c r="W69" s="270">
        <f t="shared" si="3"/>
        <v>16.7</v>
      </c>
      <c r="X69" s="250">
        <f>SUMIF('BL-2'!$C$24:$L$24,"*",'IAT-2'!F69:O69)</f>
        <v>17</v>
      </c>
      <c r="Y69" s="254">
        <f t="shared" si="4"/>
        <v>73.900000000000006</v>
      </c>
      <c r="Z69" s="4">
        <f t="shared" si="5"/>
        <v>27</v>
      </c>
      <c r="AA69" s="4">
        <f t="shared" si="6"/>
        <v>54</v>
      </c>
    </row>
    <row r="70" spans="2:27" x14ac:dyDescent="0.25">
      <c r="B70" s="265">
        <v>45</v>
      </c>
      <c r="C70" s="266">
        <f>'IAT-1'!C70</f>
        <v>951323243048</v>
      </c>
      <c r="D70" s="267" t="str">
        <f>'IAT-1'!D70</f>
        <v>RAJA SUNDAR K</v>
      </c>
      <c r="E70" s="252"/>
      <c r="F70" s="253">
        <f>'I2'!D59</f>
        <v>2</v>
      </c>
      <c r="G70" s="268">
        <f>'I2'!E59</f>
        <v>1</v>
      </c>
      <c r="H70" s="268">
        <f>'I2'!F59</f>
        <v>1</v>
      </c>
      <c r="I70" s="268">
        <f>'I2'!G59</f>
        <v>1</v>
      </c>
      <c r="J70" s="268">
        <f>'I2'!H59</f>
        <v>2</v>
      </c>
      <c r="K70" s="254">
        <f>'I2'!I59+'I2'!J59</f>
        <v>4</v>
      </c>
      <c r="L70" s="254">
        <f>'I2'!K59+'I2'!L59</f>
        <v>0</v>
      </c>
      <c r="M70" s="254">
        <f>'I2'!M59+'I2'!N59</f>
        <v>0</v>
      </c>
      <c r="N70" s="254">
        <f>'I2'!O59+'I2'!P59</f>
        <v>0</v>
      </c>
      <c r="O70" s="254">
        <f>'I2'!Q59+'I2'!R59</f>
        <v>9</v>
      </c>
      <c r="P70" s="250">
        <f>SUMIF('BL-2'!$C$20:$L$20,"*",'IAT-2'!F70:O70)</f>
        <v>0</v>
      </c>
      <c r="Q70" s="269">
        <f t="shared" si="0"/>
        <v>0</v>
      </c>
      <c r="R70" s="250">
        <f>SUMIF('BL-2'!$C$21:$L$21,"*",'IAT-2'!F70:O70)</f>
        <v>0</v>
      </c>
      <c r="S70" s="270">
        <f t="shared" si="1"/>
        <v>0</v>
      </c>
      <c r="T70" s="250">
        <f>SUMIF('BL-2'!$C$22:$L$22,"*",'IAT-2'!F70:O70)</f>
        <v>6</v>
      </c>
      <c r="U70" s="270">
        <f t="shared" si="2"/>
        <v>66.7</v>
      </c>
      <c r="V70" s="250">
        <f>SUMIF('BL-2'!$C$23:$L$23,"ü",'IAT-2'!F70:O70)</f>
        <v>2</v>
      </c>
      <c r="W70" s="270">
        <f t="shared" si="3"/>
        <v>11.1</v>
      </c>
      <c r="X70" s="250">
        <f>SUMIF('BL-2'!$C$24:$L$24,"*",'IAT-2'!F70:O70)</f>
        <v>12</v>
      </c>
      <c r="Y70" s="254">
        <f t="shared" si="4"/>
        <v>52.2</v>
      </c>
      <c r="Z70" s="4">
        <f t="shared" si="5"/>
        <v>20</v>
      </c>
      <c r="AA70" s="4">
        <f t="shared" si="6"/>
        <v>40</v>
      </c>
    </row>
    <row r="71" spans="2:27" x14ac:dyDescent="0.25">
      <c r="B71" s="265">
        <v>46</v>
      </c>
      <c r="C71" s="266">
        <f>'IAT-1'!C71</f>
        <v>951323243049</v>
      </c>
      <c r="D71" s="267" t="str">
        <f>'IAT-1'!D71</f>
        <v>RAMALINGAM B</v>
      </c>
      <c r="E71" s="252"/>
      <c r="F71" s="253">
        <f>'I2'!D60</f>
        <v>2</v>
      </c>
      <c r="G71" s="268">
        <f>'I2'!E60</f>
        <v>2</v>
      </c>
      <c r="H71" s="268">
        <f>'I2'!F60</f>
        <v>1</v>
      </c>
      <c r="I71" s="268">
        <f>'I2'!G60</f>
        <v>2</v>
      </c>
      <c r="J71" s="268">
        <f>'I2'!H60</f>
        <v>2</v>
      </c>
      <c r="K71" s="254">
        <f>'I2'!I60+'I2'!J60</f>
        <v>0</v>
      </c>
      <c r="L71" s="254">
        <f>'I2'!K60+'I2'!L60</f>
        <v>0</v>
      </c>
      <c r="M71" s="254">
        <f>'I2'!M60+'I2'!N60</f>
        <v>1</v>
      </c>
      <c r="N71" s="254">
        <f>'I2'!O60+'I2'!P60</f>
        <v>0</v>
      </c>
      <c r="O71" s="254">
        <f>'I2'!Q60+'I2'!R60</f>
        <v>0</v>
      </c>
      <c r="P71" s="250">
        <f>SUMIF('BL-2'!$C$20:$L$20,"*",'IAT-2'!F71:O71)</f>
        <v>0</v>
      </c>
      <c r="Q71" s="269">
        <f t="shared" si="0"/>
        <v>0</v>
      </c>
      <c r="R71" s="250">
        <f>SUMIF('BL-2'!$C$21:$L$21,"*",'IAT-2'!F71:O71)</f>
        <v>0</v>
      </c>
      <c r="S71" s="270">
        <f t="shared" si="1"/>
        <v>0</v>
      </c>
      <c r="T71" s="250">
        <f>SUMIF('BL-2'!$C$22:$L$22,"*",'IAT-2'!F71:O71)</f>
        <v>2</v>
      </c>
      <c r="U71" s="270">
        <f t="shared" si="2"/>
        <v>22.2</v>
      </c>
      <c r="V71" s="250">
        <f>SUMIF('BL-2'!$C$23:$L$23,"ü",'IAT-2'!F71:O71)</f>
        <v>4</v>
      </c>
      <c r="W71" s="270">
        <f t="shared" si="3"/>
        <v>22.2</v>
      </c>
      <c r="X71" s="250">
        <f>SUMIF('BL-2'!$C$24:$L$24,"*",'IAT-2'!F71:O71)</f>
        <v>4</v>
      </c>
      <c r="Y71" s="254">
        <f t="shared" si="4"/>
        <v>17.399999999999999</v>
      </c>
      <c r="Z71" s="4">
        <f t="shared" si="5"/>
        <v>10</v>
      </c>
      <c r="AA71" s="4">
        <f t="shared" si="6"/>
        <v>20</v>
      </c>
    </row>
    <row r="72" spans="2:27" x14ac:dyDescent="0.25">
      <c r="B72" s="265">
        <v>47</v>
      </c>
      <c r="C72" s="266">
        <f>'IAT-1'!C72</f>
        <v>951323243050</v>
      </c>
      <c r="D72" s="267" t="str">
        <f>'IAT-1'!D72</f>
        <v>SELVAM GRACELIN S</v>
      </c>
      <c r="E72" s="252"/>
      <c r="F72" s="253">
        <f>'I2'!D61</f>
        <v>1</v>
      </c>
      <c r="G72" s="268">
        <f>'I2'!E61</f>
        <v>1</v>
      </c>
      <c r="H72" s="268">
        <f>'I2'!F61</f>
        <v>1</v>
      </c>
      <c r="I72" s="268">
        <f>'I2'!G61</f>
        <v>2</v>
      </c>
      <c r="J72" s="268">
        <f>'I2'!H61</f>
        <v>2</v>
      </c>
      <c r="K72" s="254">
        <f>'I2'!I61+'I2'!J61</f>
        <v>7</v>
      </c>
      <c r="L72" s="254">
        <f>'I2'!K61+'I2'!L61</f>
        <v>7</v>
      </c>
      <c r="M72" s="254">
        <f>'I2'!M61+'I2'!N61</f>
        <v>7</v>
      </c>
      <c r="N72" s="254">
        <f>'I2'!O61+'I2'!P61</f>
        <v>6</v>
      </c>
      <c r="O72" s="254">
        <f>'I2'!Q61+'I2'!R61</f>
        <v>12</v>
      </c>
      <c r="P72" s="250">
        <f>SUMIF('BL-2'!$C$20:$L$20,"*",'IAT-2'!F72:O72)</f>
        <v>0</v>
      </c>
      <c r="Q72" s="269">
        <f t="shared" si="0"/>
        <v>0</v>
      </c>
      <c r="R72" s="250">
        <f>SUMIF('BL-2'!$C$21:$L$21,"*",'IAT-2'!F72:O72)</f>
        <v>0</v>
      </c>
      <c r="S72" s="270">
        <f t="shared" si="1"/>
        <v>0</v>
      </c>
      <c r="T72" s="250">
        <f>SUMIF('BL-2'!$C$22:$L$22,"*",'IAT-2'!F72:O72)</f>
        <v>8</v>
      </c>
      <c r="U72" s="270">
        <f t="shared" si="2"/>
        <v>88.9</v>
      </c>
      <c r="V72" s="250">
        <f>SUMIF('BL-2'!$C$23:$L$23,"ü",'IAT-2'!F72:O72)</f>
        <v>16</v>
      </c>
      <c r="W72" s="270">
        <f t="shared" si="3"/>
        <v>88.9</v>
      </c>
      <c r="X72" s="250">
        <f>SUMIF('BL-2'!$C$24:$L$24,"*",'IAT-2'!F72:O72)</f>
        <v>22</v>
      </c>
      <c r="Y72" s="254">
        <f t="shared" si="4"/>
        <v>95.7</v>
      </c>
      <c r="Z72" s="4">
        <f t="shared" si="5"/>
        <v>46</v>
      </c>
      <c r="AA72" s="4">
        <f t="shared" si="6"/>
        <v>92</v>
      </c>
    </row>
    <row r="73" spans="2:27" x14ac:dyDescent="0.25">
      <c r="B73" s="265">
        <v>48</v>
      </c>
      <c r="C73" s="266">
        <f>'IAT-1'!C73</f>
        <v>951323243051</v>
      </c>
      <c r="D73" s="267" t="str">
        <f>'IAT-1'!D73</f>
        <v>SHANKAR V</v>
      </c>
      <c r="E73" s="252"/>
      <c r="F73" s="253">
        <f>'I2'!D62</f>
        <v>1</v>
      </c>
      <c r="G73" s="268">
        <f>'I2'!E62</f>
        <v>1</v>
      </c>
      <c r="H73" s="268">
        <f>'I2'!F62</f>
        <v>0</v>
      </c>
      <c r="I73" s="268">
        <f>'I2'!G62</f>
        <v>0</v>
      </c>
      <c r="J73" s="268">
        <f>'I2'!H62</f>
        <v>0</v>
      </c>
      <c r="K73" s="254">
        <f>'I2'!I62+'I2'!J62</f>
        <v>0</v>
      </c>
      <c r="L73" s="254">
        <f>'I2'!K62+'I2'!L62</f>
        <v>0</v>
      </c>
      <c r="M73" s="254">
        <f>'I2'!M62+'I2'!N62</f>
        <v>0</v>
      </c>
      <c r="N73" s="254">
        <f>'I2'!O62+'I2'!P62</f>
        <v>0</v>
      </c>
      <c r="O73" s="254">
        <f>'I2'!Q62+'I2'!R62</f>
        <v>0</v>
      </c>
      <c r="P73" s="250">
        <f>SUMIF('BL-2'!$C$20:$L$20,"*",'IAT-2'!F73:O73)</f>
        <v>0</v>
      </c>
      <c r="Q73" s="269">
        <f t="shared" si="0"/>
        <v>0</v>
      </c>
      <c r="R73" s="250">
        <f>SUMIF('BL-2'!$C$21:$L$21,"*",'IAT-2'!F73:O73)</f>
        <v>0</v>
      </c>
      <c r="S73" s="270">
        <f t="shared" si="1"/>
        <v>0</v>
      </c>
      <c r="T73" s="250">
        <f>SUMIF('BL-2'!$C$22:$L$22,"*",'IAT-2'!F73:O73)</f>
        <v>1</v>
      </c>
      <c r="U73" s="270">
        <f t="shared" si="2"/>
        <v>11.1</v>
      </c>
      <c r="V73" s="250">
        <f>SUMIF('BL-2'!$C$23:$L$23,"ü",'IAT-2'!F73:O73)</f>
        <v>1</v>
      </c>
      <c r="W73" s="270">
        <f t="shared" si="3"/>
        <v>5.6</v>
      </c>
      <c r="X73" s="250">
        <f>SUMIF('BL-2'!$C$24:$L$24,"*",'IAT-2'!F73:O73)</f>
        <v>0</v>
      </c>
      <c r="Y73" s="254">
        <f t="shared" si="4"/>
        <v>0</v>
      </c>
      <c r="Z73" s="4">
        <f t="shared" si="5"/>
        <v>2</v>
      </c>
      <c r="AA73" s="4">
        <f t="shared" si="6"/>
        <v>4</v>
      </c>
    </row>
    <row r="74" spans="2:27" x14ac:dyDescent="0.25">
      <c r="B74" s="265">
        <v>49</v>
      </c>
      <c r="C74" s="266">
        <f>'IAT-1'!C74</f>
        <v>951323243052</v>
      </c>
      <c r="D74" s="267" t="str">
        <f>'IAT-1'!D74</f>
        <v>SINDHUJA RAJASUMANA R</v>
      </c>
      <c r="E74" s="252"/>
      <c r="F74" s="253">
        <f>'I2'!D63</f>
        <v>2</v>
      </c>
      <c r="G74" s="268">
        <f>'I2'!E63</f>
        <v>1</v>
      </c>
      <c r="H74" s="268">
        <f>'I2'!F63</f>
        <v>2</v>
      </c>
      <c r="I74" s="268">
        <f>'I2'!G63</f>
        <v>2</v>
      </c>
      <c r="J74" s="268">
        <f>'I2'!H63</f>
        <v>2</v>
      </c>
      <c r="K74" s="254">
        <f>'I2'!I63+'I2'!J63</f>
        <v>7</v>
      </c>
      <c r="L74" s="254">
        <f>'I2'!K63+'I2'!L63</f>
        <v>7</v>
      </c>
      <c r="M74" s="254">
        <f>'I2'!M63+'I2'!N63</f>
        <v>7</v>
      </c>
      <c r="N74" s="254">
        <f>'I2'!O63+'I2'!P63</f>
        <v>7</v>
      </c>
      <c r="O74" s="254">
        <f>'I2'!Q63+'I2'!R63</f>
        <v>12</v>
      </c>
      <c r="P74" s="250">
        <f>SUMIF('BL-2'!$C$20:$L$20,"*",'IAT-2'!F74:O74)</f>
        <v>0</v>
      </c>
      <c r="Q74" s="269">
        <f t="shared" si="0"/>
        <v>0</v>
      </c>
      <c r="R74" s="250">
        <f>SUMIF('BL-2'!$C$21:$L$21,"*",'IAT-2'!F74:O74)</f>
        <v>0</v>
      </c>
      <c r="S74" s="270">
        <f t="shared" si="1"/>
        <v>0</v>
      </c>
      <c r="T74" s="250">
        <f>SUMIF('BL-2'!$C$22:$L$22,"*",'IAT-2'!F74:O74)</f>
        <v>9</v>
      </c>
      <c r="U74" s="270">
        <f t="shared" si="2"/>
        <v>100</v>
      </c>
      <c r="V74" s="250">
        <f>SUMIF('BL-2'!$C$23:$L$23,"ü",'IAT-2'!F74:O74)</f>
        <v>17</v>
      </c>
      <c r="W74" s="270">
        <f t="shared" si="3"/>
        <v>94.4</v>
      </c>
      <c r="X74" s="250">
        <f>SUMIF('BL-2'!$C$24:$L$24,"*",'IAT-2'!F74:O74)</f>
        <v>23</v>
      </c>
      <c r="Y74" s="254">
        <f t="shared" si="4"/>
        <v>100</v>
      </c>
      <c r="Z74" s="4">
        <f t="shared" si="5"/>
        <v>49</v>
      </c>
      <c r="AA74" s="4">
        <f t="shared" si="6"/>
        <v>98</v>
      </c>
    </row>
    <row r="75" spans="2:27" x14ac:dyDescent="0.25">
      <c r="B75" s="265">
        <v>50</v>
      </c>
      <c r="C75" s="266">
        <f>'IAT-1'!C75</f>
        <v>951323243053</v>
      </c>
      <c r="D75" s="267" t="str">
        <f>'IAT-1'!D75</f>
        <v>SNEGA G</v>
      </c>
      <c r="E75" s="252"/>
      <c r="F75" s="253">
        <f>'I2'!D64</f>
        <v>1</v>
      </c>
      <c r="G75" s="268">
        <f>'I2'!E64</f>
        <v>1</v>
      </c>
      <c r="H75" s="268">
        <f>'I2'!F64</f>
        <v>2</v>
      </c>
      <c r="I75" s="268">
        <f>'I2'!G64</f>
        <v>2</v>
      </c>
      <c r="J75" s="268">
        <f>'I2'!H64</f>
        <v>2</v>
      </c>
      <c r="K75" s="254">
        <f>'I2'!I64+'I2'!J64</f>
        <v>7</v>
      </c>
      <c r="L75" s="254">
        <f>'I2'!K64+'I2'!L64</f>
        <v>0</v>
      </c>
      <c r="M75" s="254">
        <f>'I2'!M64+'I2'!N64</f>
        <v>7</v>
      </c>
      <c r="N75" s="254">
        <f>'I2'!O64+'I2'!P64</f>
        <v>6</v>
      </c>
      <c r="O75" s="254">
        <f>'I2'!Q64+'I2'!R64</f>
        <v>11</v>
      </c>
      <c r="P75" s="250">
        <f>SUMIF('BL-2'!$C$20:$L$20,"*",'IAT-2'!F75:O75)</f>
        <v>0</v>
      </c>
      <c r="Q75" s="269">
        <f t="shared" si="0"/>
        <v>0</v>
      </c>
      <c r="R75" s="250">
        <f>SUMIF('BL-2'!$C$21:$L$21,"*",'IAT-2'!F75:O75)</f>
        <v>0</v>
      </c>
      <c r="S75" s="270">
        <f t="shared" si="1"/>
        <v>0</v>
      </c>
      <c r="T75" s="250">
        <f>SUMIF('BL-2'!$C$22:$L$22,"*",'IAT-2'!F75:O75)</f>
        <v>8</v>
      </c>
      <c r="U75" s="270">
        <f t="shared" si="2"/>
        <v>88.9</v>
      </c>
      <c r="V75" s="250">
        <f>SUMIF('BL-2'!$C$23:$L$23,"ü",'IAT-2'!F75:O75)</f>
        <v>10</v>
      </c>
      <c r="W75" s="270">
        <f t="shared" si="3"/>
        <v>55.6</v>
      </c>
      <c r="X75" s="250">
        <f>SUMIF('BL-2'!$C$24:$L$24,"*",'IAT-2'!F75:O75)</f>
        <v>21</v>
      </c>
      <c r="Y75" s="254">
        <f t="shared" si="4"/>
        <v>91.3</v>
      </c>
      <c r="Z75" s="4">
        <f t="shared" si="5"/>
        <v>39</v>
      </c>
      <c r="AA75" s="4">
        <f t="shared" si="6"/>
        <v>78</v>
      </c>
    </row>
    <row r="76" spans="2:27" x14ac:dyDescent="0.25">
      <c r="B76" s="265">
        <v>51</v>
      </c>
      <c r="C76" s="266">
        <f>'IAT-1'!C76</f>
        <v>951323243054</v>
      </c>
      <c r="D76" s="267" t="str">
        <f>'IAT-1'!D76</f>
        <v>SUBRAMANIAN V</v>
      </c>
      <c r="E76" s="252"/>
      <c r="F76" s="253">
        <f>'I2'!D65</f>
        <v>1</v>
      </c>
      <c r="G76" s="268">
        <f>'I2'!E65</f>
        <v>2</v>
      </c>
      <c r="H76" s="268">
        <f>'I2'!F65</f>
        <v>1</v>
      </c>
      <c r="I76" s="268">
        <f>'I2'!G65</f>
        <v>2</v>
      </c>
      <c r="J76" s="268">
        <f>'I2'!H65</f>
        <v>2</v>
      </c>
      <c r="K76" s="254">
        <f>'I2'!I65+'I2'!J65</f>
        <v>0</v>
      </c>
      <c r="L76" s="254">
        <f>'I2'!K65+'I2'!L65</f>
        <v>0</v>
      </c>
      <c r="M76" s="254">
        <f>'I2'!M65+'I2'!N65</f>
        <v>0</v>
      </c>
      <c r="N76" s="254">
        <f>'I2'!O65+'I2'!P65</f>
        <v>4</v>
      </c>
      <c r="O76" s="254">
        <f>'I2'!Q65+'I2'!R65</f>
        <v>10</v>
      </c>
      <c r="P76" s="250">
        <f>SUMIF('BL-2'!$C$20:$L$20,"*",'IAT-2'!F76:O76)</f>
        <v>0</v>
      </c>
      <c r="Q76" s="269">
        <f t="shared" si="0"/>
        <v>0</v>
      </c>
      <c r="R76" s="250">
        <f>SUMIF('BL-2'!$C$21:$L$21,"*",'IAT-2'!F76:O76)</f>
        <v>0</v>
      </c>
      <c r="S76" s="270">
        <f t="shared" si="1"/>
        <v>0</v>
      </c>
      <c r="T76" s="250">
        <f>SUMIF('BL-2'!$C$22:$L$22,"*",'IAT-2'!F76:O76)</f>
        <v>1</v>
      </c>
      <c r="U76" s="270">
        <f t="shared" si="2"/>
        <v>11.1</v>
      </c>
      <c r="V76" s="250">
        <f>SUMIF('BL-2'!$C$23:$L$23,"ü",'IAT-2'!F76:O76)</f>
        <v>3</v>
      </c>
      <c r="W76" s="270">
        <f t="shared" si="3"/>
        <v>16.7</v>
      </c>
      <c r="X76" s="250">
        <f>SUMIF('BL-2'!$C$24:$L$24,"*",'IAT-2'!F76:O76)</f>
        <v>18</v>
      </c>
      <c r="Y76" s="254">
        <f t="shared" si="4"/>
        <v>78.3</v>
      </c>
      <c r="Z76" s="4">
        <f t="shared" si="5"/>
        <v>22</v>
      </c>
      <c r="AA76" s="4">
        <f t="shared" si="6"/>
        <v>44</v>
      </c>
    </row>
    <row r="77" spans="2:27" x14ac:dyDescent="0.25">
      <c r="B77" s="265">
        <v>52</v>
      </c>
      <c r="C77" s="266">
        <f>'IAT-1'!C77</f>
        <v>951323243055</v>
      </c>
      <c r="D77" s="267" t="str">
        <f>'IAT-1'!D77</f>
        <v>SUGAN RAJ H</v>
      </c>
      <c r="E77" s="252"/>
      <c r="F77" s="253">
        <f>'I2'!D66</f>
        <v>1</v>
      </c>
      <c r="G77" s="268">
        <f>'I2'!E66</f>
        <v>0</v>
      </c>
      <c r="H77" s="268">
        <f>'I2'!F66</f>
        <v>0</v>
      </c>
      <c r="I77" s="268">
        <f>'I2'!G66</f>
        <v>1</v>
      </c>
      <c r="J77" s="268">
        <f>'I2'!H66</f>
        <v>1</v>
      </c>
      <c r="K77" s="254">
        <f>'I2'!I66+'I2'!J66</f>
        <v>2</v>
      </c>
      <c r="L77" s="254">
        <f>'I2'!K66+'I2'!L66</f>
        <v>0</v>
      </c>
      <c r="M77" s="254">
        <f>'I2'!M66+'I2'!N66</f>
        <v>0</v>
      </c>
      <c r="N77" s="254">
        <f>'I2'!O66+'I2'!P66</f>
        <v>1</v>
      </c>
      <c r="O77" s="254">
        <f>'I2'!Q66+'I2'!R66</f>
        <v>3</v>
      </c>
      <c r="P77" s="250">
        <f>SUMIF('BL-2'!$C$20:$L$20,"*",'IAT-2'!F77:O77)</f>
        <v>0</v>
      </c>
      <c r="Q77" s="269">
        <f t="shared" si="0"/>
        <v>0</v>
      </c>
      <c r="R77" s="250">
        <f>SUMIF('BL-2'!$C$21:$L$21,"*",'IAT-2'!F77:O77)</f>
        <v>0</v>
      </c>
      <c r="S77" s="270">
        <f t="shared" si="1"/>
        <v>0</v>
      </c>
      <c r="T77" s="250">
        <f>SUMIF('BL-2'!$C$22:$L$22,"*",'IAT-2'!F77:O77)</f>
        <v>3</v>
      </c>
      <c r="U77" s="270">
        <f t="shared" si="2"/>
        <v>33.299999999999997</v>
      </c>
      <c r="V77" s="250">
        <f>SUMIF('BL-2'!$C$23:$L$23,"ü",'IAT-2'!F77:O77)</f>
        <v>0</v>
      </c>
      <c r="W77" s="270">
        <f t="shared" si="3"/>
        <v>0</v>
      </c>
      <c r="X77" s="250">
        <f>SUMIF('BL-2'!$C$24:$L$24,"*",'IAT-2'!F77:O77)</f>
        <v>6</v>
      </c>
      <c r="Y77" s="254">
        <f t="shared" si="4"/>
        <v>26.1</v>
      </c>
      <c r="Z77" s="4">
        <f t="shared" si="5"/>
        <v>9</v>
      </c>
      <c r="AA77" s="4">
        <f t="shared" si="6"/>
        <v>18</v>
      </c>
    </row>
    <row r="78" spans="2:27" x14ac:dyDescent="0.25">
      <c r="B78" s="265">
        <v>53</v>
      </c>
      <c r="C78" s="266">
        <f>'IAT-1'!C78</f>
        <v>951323243056</v>
      </c>
      <c r="D78" s="267" t="str">
        <f>'IAT-1'!D78</f>
        <v>THOMAS KOILRAJ J</v>
      </c>
      <c r="E78" s="252"/>
      <c r="F78" s="253">
        <f>'I2'!D67</f>
        <v>2</v>
      </c>
      <c r="G78" s="268">
        <f>'I2'!E67</f>
        <v>1</v>
      </c>
      <c r="H78" s="268">
        <f>'I2'!F67</f>
        <v>1</v>
      </c>
      <c r="I78" s="268">
        <f>'I2'!G67</f>
        <v>1</v>
      </c>
      <c r="J78" s="268">
        <f>'I2'!H67</f>
        <v>2</v>
      </c>
      <c r="K78" s="254">
        <f>'I2'!I67+'I2'!J67</f>
        <v>4</v>
      </c>
      <c r="L78" s="254">
        <f>'I2'!K67+'I2'!L67</f>
        <v>0</v>
      </c>
      <c r="M78" s="254">
        <f>'I2'!M67+'I2'!N67</f>
        <v>0</v>
      </c>
      <c r="N78" s="254">
        <f>'I2'!O67+'I2'!P67</f>
        <v>0</v>
      </c>
      <c r="O78" s="254">
        <f>'I2'!Q67+'I2'!R67</f>
        <v>9</v>
      </c>
      <c r="P78" s="250">
        <f>SUMIF('BL-2'!$C$20:$L$20,"*",'IAT-2'!F78:O78)</f>
        <v>0</v>
      </c>
      <c r="Q78" s="269">
        <f t="shared" si="0"/>
        <v>0</v>
      </c>
      <c r="R78" s="250">
        <f>SUMIF('BL-2'!$C$21:$L$21,"*",'IAT-2'!F78:O78)</f>
        <v>0</v>
      </c>
      <c r="S78" s="270">
        <f t="shared" si="1"/>
        <v>0</v>
      </c>
      <c r="T78" s="250">
        <f>SUMIF('BL-2'!$C$22:$L$22,"*",'IAT-2'!F78:O78)</f>
        <v>6</v>
      </c>
      <c r="U78" s="270">
        <f t="shared" si="2"/>
        <v>66.7</v>
      </c>
      <c r="V78" s="250">
        <f>SUMIF('BL-2'!$C$23:$L$23,"ü",'IAT-2'!F78:O78)</f>
        <v>2</v>
      </c>
      <c r="W78" s="270">
        <f t="shared" si="3"/>
        <v>11.1</v>
      </c>
      <c r="X78" s="250">
        <f>SUMIF('BL-2'!$C$24:$L$24,"*",'IAT-2'!F78:O78)</f>
        <v>12</v>
      </c>
      <c r="Y78" s="254">
        <f t="shared" si="4"/>
        <v>52.2</v>
      </c>
      <c r="Z78" s="4">
        <f t="shared" si="5"/>
        <v>20</v>
      </c>
      <c r="AA78" s="4">
        <f t="shared" si="6"/>
        <v>40</v>
      </c>
    </row>
    <row r="79" spans="2:27" x14ac:dyDescent="0.25">
      <c r="B79" s="265">
        <v>54</v>
      </c>
      <c r="C79" s="266">
        <f>'IAT-1'!C79</f>
        <v>951323243057</v>
      </c>
      <c r="D79" s="267" t="str">
        <f>'IAT-1'!D79</f>
        <v>VANITHA L</v>
      </c>
      <c r="E79" s="252"/>
      <c r="F79" s="253">
        <f>'I2'!D68</f>
        <v>2</v>
      </c>
      <c r="G79" s="268">
        <f>'I2'!E68</f>
        <v>1</v>
      </c>
      <c r="H79" s="268">
        <f>'I2'!F68</f>
        <v>2</v>
      </c>
      <c r="I79" s="268">
        <f>'I2'!G68</f>
        <v>2</v>
      </c>
      <c r="J79" s="268">
        <f>'I2'!H68</f>
        <v>2</v>
      </c>
      <c r="K79" s="254">
        <f>'I2'!I68+'I2'!J68</f>
        <v>7</v>
      </c>
      <c r="L79" s="254">
        <f>'I2'!K68+'I2'!L68</f>
        <v>0</v>
      </c>
      <c r="M79" s="254">
        <f>'I2'!M68+'I2'!N68</f>
        <v>5</v>
      </c>
      <c r="N79" s="254">
        <f>'I2'!O68+'I2'!P68</f>
        <v>6</v>
      </c>
      <c r="O79" s="254">
        <f>'I2'!Q68+'I2'!R68</f>
        <v>11</v>
      </c>
      <c r="P79" s="250">
        <f>SUMIF('BL-2'!$C$20:$L$20,"*",'IAT-2'!F79:O79)</f>
        <v>0</v>
      </c>
      <c r="Q79" s="269">
        <f t="shared" si="0"/>
        <v>0</v>
      </c>
      <c r="R79" s="250">
        <f>SUMIF('BL-2'!$C$21:$L$21,"*",'IAT-2'!F79:O79)</f>
        <v>0</v>
      </c>
      <c r="S79" s="270">
        <f t="shared" si="1"/>
        <v>0</v>
      </c>
      <c r="T79" s="250">
        <f>SUMIF('BL-2'!$C$22:$L$22,"*",'IAT-2'!F79:O79)</f>
        <v>9</v>
      </c>
      <c r="U79" s="270">
        <f t="shared" si="2"/>
        <v>100</v>
      </c>
      <c r="V79" s="250">
        <f>SUMIF('BL-2'!$C$23:$L$23,"ü",'IAT-2'!F79:O79)</f>
        <v>8</v>
      </c>
      <c r="W79" s="270">
        <f t="shared" si="3"/>
        <v>44.4</v>
      </c>
      <c r="X79" s="250">
        <f>SUMIF('BL-2'!$C$24:$L$24,"*",'IAT-2'!F79:O79)</f>
        <v>21</v>
      </c>
      <c r="Y79" s="254">
        <f t="shared" si="4"/>
        <v>91.3</v>
      </c>
      <c r="Z79" s="4">
        <f t="shared" si="5"/>
        <v>38</v>
      </c>
      <c r="AA79" s="4">
        <f t="shared" si="6"/>
        <v>76</v>
      </c>
    </row>
    <row r="80" spans="2:27" x14ac:dyDescent="0.25">
      <c r="B80" s="265">
        <v>55</v>
      </c>
      <c r="C80" s="266">
        <f>'IAT-1'!C80</f>
        <v>951323243058</v>
      </c>
      <c r="D80" s="267" t="str">
        <f>'IAT-1'!D80</f>
        <v>VICTOR ROBINSON</v>
      </c>
      <c r="E80" s="252"/>
      <c r="F80" s="253">
        <f>'I2'!D69</f>
        <v>2</v>
      </c>
      <c r="G80" s="268">
        <f>'I2'!E69</f>
        <v>1</v>
      </c>
      <c r="H80" s="268">
        <f>'I2'!F69</f>
        <v>1</v>
      </c>
      <c r="I80" s="268">
        <f>'I2'!G69</f>
        <v>2</v>
      </c>
      <c r="J80" s="268">
        <f>'I2'!H69</f>
        <v>2</v>
      </c>
      <c r="K80" s="254">
        <f>'I2'!I69+'I2'!J69</f>
        <v>0</v>
      </c>
      <c r="L80" s="254">
        <f>'I2'!K69+'I2'!L69</f>
        <v>0</v>
      </c>
      <c r="M80" s="254">
        <f>'I2'!M69+'I2'!N69</f>
        <v>0</v>
      </c>
      <c r="N80" s="254">
        <f>'I2'!O69+'I2'!P69</f>
        <v>0</v>
      </c>
      <c r="O80" s="254">
        <f>'I2'!Q69+'I2'!R69</f>
        <v>1</v>
      </c>
      <c r="P80" s="250">
        <f>SUMIF('BL-2'!$C$20:$L$20,"*",'IAT-2'!F80:O80)</f>
        <v>0</v>
      </c>
      <c r="Q80" s="269">
        <f t="shared" si="0"/>
        <v>0</v>
      </c>
      <c r="R80" s="250">
        <f>SUMIF('BL-2'!$C$21:$L$21,"*",'IAT-2'!F80:O80)</f>
        <v>0</v>
      </c>
      <c r="S80" s="270">
        <f t="shared" si="1"/>
        <v>0</v>
      </c>
      <c r="T80" s="250">
        <f>SUMIF('BL-2'!$C$22:$L$22,"*",'IAT-2'!F80:O80)</f>
        <v>2</v>
      </c>
      <c r="U80" s="270">
        <f t="shared" si="2"/>
        <v>22.2</v>
      </c>
      <c r="V80" s="250">
        <f>SUMIF('BL-2'!$C$23:$L$23,"ü",'IAT-2'!F80:O80)</f>
        <v>2</v>
      </c>
      <c r="W80" s="270">
        <f t="shared" si="3"/>
        <v>11.1</v>
      </c>
      <c r="X80" s="250">
        <f>SUMIF('BL-2'!$C$24:$L$24,"*",'IAT-2'!F80:O80)</f>
        <v>5</v>
      </c>
      <c r="Y80" s="254">
        <f t="shared" si="4"/>
        <v>21.7</v>
      </c>
      <c r="Z80" s="4">
        <f t="shared" si="5"/>
        <v>9</v>
      </c>
      <c r="AA80" s="4">
        <f t="shared" si="6"/>
        <v>18</v>
      </c>
    </row>
    <row r="81" spans="1:35" x14ac:dyDescent="0.25">
      <c r="B81" s="265">
        <v>56</v>
      </c>
      <c r="C81" s="266">
        <f>'IAT-1'!C81</f>
        <v>951323243059</v>
      </c>
      <c r="D81" s="267" t="str">
        <f>'IAT-1'!D81</f>
        <v>VIJAYAPRAKASH S</v>
      </c>
      <c r="E81" s="252"/>
      <c r="F81" s="253">
        <f>'I2'!D70</f>
        <v>2</v>
      </c>
      <c r="G81" s="268">
        <f>'I2'!E70</f>
        <v>2</v>
      </c>
      <c r="H81" s="268">
        <f>'I2'!F70</f>
        <v>1</v>
      </c>
      <c r="I81" s="268">
        <f>'I2'!G70</f>
        <v>2</v>
      </c>
      <c r="J81" s="268">
        <f>'I2'!H70</f>
        <v>2</v>
      </c>
      <c r="K81" s="254">
        <f>'I2'!I70+'I2'!J70</f>
        <v>0</v>
      </c>
      <c r="L81" s="254">
        <f>'I2'!K70+'I2'!L70</f>
        <v>0</v>
      </c>
      <c r="M81" s="254">
        <f>'I2'!M70+'I2'!N70</f>
        <v>0</v>
      </c>
      <c r="N81" s="254">
        <f>'I2'!O70+'I2'!P70</f>
        <v>3</v>
      </c>
      <c r="O81" s="254">
        <f>'I2'!Q70+'I2'!R70</f>
        <v>7</v>
      </c>
      <c r="P81" s="250">
        <f>SUMIF('BL-2'!$C$20:$L$20,"*",'IAT-2'!F81:O81)</f>
        <v>0</v>
      </c>
      <c r="Q81" s="269">
        <f t="shared" si="0"/>
        <v>0</v>
      </c>
      <c r="R81" s="250">
        <f>SUMIF('BL-2'!$C$21:$L$21,"*",'IAT-2'!F81:O81)</f>
        <v>0</v>
      </c>
      <c r="S81" s="270">
        <f t="shared" si="1"/>
        <v>0</v>
      </c>
      <c r="T81" s="250">
        <f>SUMIF('BL-2'!$C$22:$L$22,"*",'IAT-2'!F81:O81)</f>
        <v>2</v>
      </c>
      <c r="U81" s="270">
        <f t="shared" si="2"/>
        <v>22.2</v>
      </c>
      <c r="V81" s="250">
        <f>SUMIF('BL-2'!$C$23:$L$23,"ü",'IAT-2'!F81:O81)</f>
        <v>3</v>
      </c>
      <c r="W81" s="270">
        <f t="shared" si="3"/>
        <v>16.7</v>
      </c>
      <c r="X81" s="250">
        <f>SUMIF('BL-2'!$C$24:$L$24,"*",'IAT-2'!F81:O81)</f>
        <v>14</v>
      </c>
      <c r="Y81" s="254">
        <f t="shared" si="4"/>
        <v>60.9</v>
      </c>
      <c r="Z81" s="4">
        <f t="shared" si="5"/>
        <v>19</v>
      </c>
      <c r="AA81" s="4">
        <f t="shared" si="6"/>
        <v>38</v>
      </c>
    </row>
    <row r="82" spans="1:35" x14ac:dyDescent="0.25">
      <c r="B82" s="265">
        <v>57</v>
      </c>
      <c r="C82" s="266">
        <f>'IAT-1'!C82</f>
        <v>951323243060</v>
      </c>
      <c r="D82" s="267" t="str">
        <f>'IAT-1'!D82</f>
        <v>VIJITHA BLESSY V</v>
      </c>
      <c r="E82" s="252"/>
      <c r="F82" s="253">
        <f>'I2'!D71</f>
        <v>0</v>
      </c>
      <c r="G82" s="268">
        <f>'I2'!E71</f>
        <v>0</v>
      </c>
      <c r="H82" s="268">
        <f>'I2'!F71</f>
        <v>0</v>
      </c>
      <c r="I82" s="268">
        <f>'I2'!G71</f>
        <v>0</v>
      </c>
      <c r="J82" s="268">
        <f>'I2'!H71</f>
        <v>0</v>
      </c>
      <c r="K82" s="254">
        <f>'I2'!I71+'I2'!J71</f>
        <v>0</v>
      </c>
      <c r="L82" s="254">
        <f>'I2'!K71+'I2'!L71</f>
        <v>0</v>
      </c>
      <c r="M82" s="254">
        <f>'I2'!M71+'I2'!N71</f>
        <v>0</v>
      </c>
      <c r="N82" s="254">
        <f>'I2'!O71+'I2'!P71</f>
        <v>0</v>
      </c>
      <c r="O82" s="254">
        <f>'I2'!Q71+'I2'!R71</f>
        <v>0</v>
      </c>
      <c r="P82" s="250">
        <f>SUMIF('BL-2'!$C$20:$L$20,"*",'IAT-2'!F82:O82)</f>
        <v>0</v>
      </c>
      <c r="Q82" s="269">
        <f t="shared" si="0"/>
        <v>0</v>
      </c>
      <c r="R82" s="250">
        <f>SUMIF('BL-2'!$C$21:$L$21,"*",'IAT-2'!F82:O82)</f>
        <v>0</v>
      </c>
      <c r="S82" s="270">
        <f t="shared" si="1"/>
        <v>0</v>
      </c>
      <c r="T82" s="250">
        <f>SUMIF('BL-2'!$C$22:$L$22,"*",'IAT-2'!F82:O82)</f>
        <v>0</v>
      </c>
      <c r="U82" s="270">
        <f t="shared" si="2"/>
        <v>0</v>
      </c>
      <c r="V82" s="250">
        <f>SUMIF('BL-2'!$C$23:$L$23,"ü",'IAT-2'!F82:O82)</f>
        <v>0</v>
      </c>
      <c r="W82" s="270">
        <f t="shared" si="3"/>
        <v>0</v>
      </c>
      <c r="X82" s="250">
        <f>SUMIF('BL-2'!$C$24:$L$24,"*",'IAT-2'!F82:O82)</f>
        <v>0</v>
      </c>
      <c r="Y82" s="254">
        <f t="shared" si="4"/>
        <v>0</v>
      </c>
      <c r="Z82" s="4">
        <f t="shared" si="5"/>
        <v>0</v>
      </c>
      <c r="AA82" s="4">
        <f t="shared" si="6"/>
        <v>0</v>
      </c>
    </row>
    <row r="83" spans="1:35" ht="15.75" x14ac:dyDescent="0.25">
      <c r="A83" s="18"/>
      <c r="B83" s="412" t="s">
        <v>153</v>
      </c>
      <c r="C83" s="413"/>
      <c r="D83" s="413"/>
      <c r="E83" s="413"/>
      <c r="F83" s="413"/>
      <c r="G83" s="413"/>
      <c r="H83" s="413"/>
      <c r="I83" s="413"/>
      <c r="J83" s="413"/>
      <c r="K83" s="413"/>
      <c r="L83" s="413"/>
      <c r="M83" s="413"/>
      <c r="N83" s="413"/>
      <c r="O83" s="414"/>
      <c r="P83" s="242"/>
      <c r="Q83" s="254">
        <f>COUNTIF(Q26:Q82,"&gt;=50")</f>
        <v>0</v>
      </c>
      <c r="R83" s="254"/>
      <c r="S83" s="254">
        <f>COUNTIF(S26:S82,"&gt;=50")</f>
        <v>0</v>
      </c>
      <c r="T83" s="254"/>
      <c r="U83" s="254">
        <f>COUNTIF(U26:U82,"&gt;=50")</f>
        <v>36</v>
      </c>
      <c r="V83" s="254"/>
      <c r="W83" s="254">
        <f>COUNTIF(W26:W82,"&gt;=50")</f>
        <v>22</v>
      </c>
      <c r="X83" s="254"/>
      <c r="Y83" s="254">
        <f>COUNTIF(Y26:Y82,"&gt;=50")</f>
        <v>44</v>
      </c>
    </row>
    <row r="84" spans="1:35" ht="15.75" x14ac:dyDescent="0.25">
      <c r="A84" s="18"/>
      <c r="B84" s="401" t="s">
        <v>154</v>
      </c>
      <c r="C84" s="401"/>
      <c r="D84" s="401"/>
      <c r="E84" s="401"/>
      <c r="F84" s="401"/>
      <c r="G84" s="401"/>
      <c r="H84" s="401"/>
      <c r="I84" s="401"/>
      <c r="J84" s="401"/>
      <c r="K84" s="401"/>
      <c r="L84" s="401"/>
      <c r="M84" s="401"/>
      <c r="N84" s="401"/>
      <c r="O84" s="401"/>
      <c r="P84" s="241"/>
      <c r="Q84" s="254">
        <f>ROUND(IFERROR(Q83/$Z$9,0)*100,1)</f>
        <v>0</v>
      </c>
      <c r="R84" s="254"/>
      <c r="S84" s="254">
        <f>ROUND(IFERROR(S83/$Z$9,0)*100,1)</f>
        <v>0</v>
      </c>
      <c r="T84" s="254"/>
      <c r="U84" s="254">
        <f>ROUND(IFERROR(U83/$Z$9,0)*100,1)</f>
        <v>63.2</v>
      </c>
      <c r="V84" s="254"/>
      <c r="W84" s="254">
        <f>ROUND(IFERROR(W83/$Z$9,0)*100,1)</f>
        <v>38.6</v>
      </c>
      <c r="X84" s="254"/>
      <c r="Y84" s="254">
        <f>ROUND(IFERROR(Y83/$Z$9,0)*100,1)</f>
        <v>77.2</v>
      </c>
    </row>
    <row r="85" spans="1:35" ht="15.75" x14ac:dyDescent="0.25">
      <c r="A85" s="18"/>
      <c r="B85" s="412" t="s">
        <v>32</v>
      </c>
      <c r="C85" s="413"/>
      <c r="D85" s="413"/>
      <c r="E85" s="413"/>
      <c r="F85" s="413"/>
      <c r="G85" s="413"/>
      <c r="H85" s="413"/>
      <c r="I85" s="413"/>
      <c r="J85" s="413"/>
      <c r="K85" s="413"/>
      <c r="L85" s="413"/>
      <c r="M85" s="413"/>
      <c r="N85" s="413"/>
      <c r="O85" s="414"/>
      <c r="P85" s="242"/>
      <c r="Q85" s="254">
        <f>IF(Q84&gt;=60,3,IF(Q84&gt;=50,2,IF(Q84&gt;=40,1,0)))</f>
        <v>0</v>
      </c>
      <c r="R85" s="254"/>
      <c r="S85" s="254">
        <f>IF(S84&gt;=60,3,IF(S84&gt;=50,2,IF(S84&gt;=40,1,0)))</f>
        <v>0</v>
      </c>
      <c r="T85" s="254"/>
      <c r="U85" s="254">
        <f>IF(U84&gt;=60,3,IF(U84&gt;=50,2,IF(U84&gt;=40,1,0)))</f>
        <v>3</v>
      </c>
      <c r="V85" s="254"/>
      <c r="W85" s="254">
        <f>IF(W84&gt;=60,3,IF(W84&gt;=50,2,IF(W84&gt;=40,1,0)))</f>
        <v>0</v>
      </c>
      <c r="X85" s="254"/>
      <c r="Y85" s="254">
        <f>IF(Y84&gt;=60,3,IF(Y84&gt;=50,2,IF(Y84&gt;=40,1,0)))</f>
        <v>3</v>
      </c>
    </row>
    <row r="92" spans="1:35" x14ac:dyDescent="0.25">
      <c r="AH92" s="25"/>
      <c r="AI92" s="25"/>
    </row>
  </sheetData>
  <mergeCells count="30">
    <mergeCell ref="V20:W24"/>
    <mergeCell ref="P19:Y19"/>
    <mergeCell ref="B84:O84"/>
    <mergeCell ref="B83:O83"/>
    <mergeCell ref="B85:O85"/>
    <mergeCell ref="T20:U24"/>
    <mergeCell ref="F20:J20"/>
    <mergeCell ref="K20:O20"/>
    <mergeCell ref="N9:T9"/>
    <mergeCell ref="G9:H9"/>
    <mergeCell ref="P20:Q24"/>
    <mergeCell ref="Z20:AA24"/>
    <mergeCell ref="I16:Z16"/>
    <mergeCell ref="T11:AB11"/>
    <mergeCell ref="X20:Y24"/>
    <mergeCell ref="O12:S12"/>
    <mergeCell ref="O13:S13"/>
    <mergeCell ref="O14:S14"/>
    <mergeCell ref="O11:S11"/>
    <mergeCell ref="R20:S24"/>
    <mergeCell ref="M17:O17"/>
    <mergeCell ref="R17:T17"/>
    <mergeCell ref="U17:X17"/>
    <mergeCell ref="Y17:Z17"/>
    <mergeCell ref="D18:O18"/>
    <mergeCell ref="E19:F19"/>
    <mergeCell ref="G19:H19"/>
    <mergeCell ref="I19:J19"/>
    <mergeCell ref="K19:L19"/>
    <mergeCell ref="M19:O19"/>
  </mergeCells>
  <pageMargins left="0.7" right="0.7" top="0.75" bottom="0.75" header="0.3" footer="0.3"/>
  <pageSetup orientation="portrait" r:id="rId1"/>
  <ignoredErrors>
    <ignoredError sqref="T26"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87"/>
  <sheetViews>
    <sheetView topLeftCell="D1" zoomScale="82" zoomScaleNormal="82" workbookViewId="0">
      <selection activeCell="M4" sqref="M4"/>
    </sheetView>
  </sheetViews>
  <sheetFormatPr defaultRowHeight="15" x14ac:dyDescent="0.25"/>
  <cols>
    <col min="2" max="2" width="10.42578125" customWidth="1"/>
    <col min="3" max="3" width="19" customWidth="1"/>
    <col min="4" max="4" width="30.5703125" customWidth="1"/>
    <col min="6" max="6" width="7.140625" customWidth="1"/>
    <col min="7" max="7" width="6.7109375" customWidth="1"/>
    <col min="8" max="8" width="6.85546875" customWidth="1"/>
    <col min="9" max="10" width="6.7109375" customWidth="1"/>
    <col min="11" max="15" width="7.140625" customWidth="1"/>
    <col min="16" max="16" width="9.42578125" customWidth="1"/>
    <col min="17" max="17" width="6.85546875" customWidth="1"/>
    <col min="18" max="18" width="9.42578125" customWidth="1"/>
    <col min="19" max="19" width="6.85546875" customWidth="1"/>
    <col min="20" max="20" width="9.42578125" customWidth="1"/>
    <col min="21" max="21" width="6.85546875" customWidth="1"/>
    <col min="22" max="22" width="8" customWidth="1"/>
    <col min="23" max="23" width="6.85546875" customWidth="1"/>
    <col min="24" max="24" width="8.42578125" customWidth="1"/>
    <col min="25" max="25" width="7.140625" customWidth="1"/>
    <col min="26" max="26" width="7" customWidth="1"/>
    <col min="27" max="27" width="6.5703125" customWidth="1"/>
  </cols>
  <sheetData>
    <row r="1" spans="1:31" x14ac:dyDescent="0.25">
      <c r="A1" s="74"/>
      <c r="E1" s="1" t="str">
        <f>'IAT-2'!E1</f>
        <v>JAYARAJ ANNAPACKIAM C. S. I. COLLEGE OF ENGINEERING</v>
      </c>
      <c r="F1" s="1"/>
      <c r="G1" s="1"/>
      <c r="H1" s="1"/>
      <c r="J1" s="1"/>
      <c r="K1" s="1"/>
      <c r="L1" s="1"/>
      <c r="M1" s="1"/>
      <c r="N1" s="1"/>
    </row>
    <row r="2" spans="1:31" x14ac:dyDescent="0.25">
      <c r="A2" s="74"/>
      <c r="E2" s="1" t="str">
        <f>'IAT-2'!E2</f>
        <v>(Approved by AICTE, New Delhi and Affiliated to Anna University)</v>
      </c>
      <c r="F2" s="60"/>
      <c r="G2" s="60"/>
      <c r="H2" s="60"/>
      <c r="J2" s="60"/>
      <c r="K2" s="60"/>
      <c r="L2" s="60"/>
      <c r="M2" s="60"/>
      <c r="N2" s="60"/>
    </row>
    <row r="3" spans="1:31" x14ac:dyDescent="0.25">
      <c r="A3" s="74"/>
      <c r="E3" s="1" t="str">
        <f>'IAT-2'!E3</f>
        <v>MARGOSCHIS NAGAR, NAZARETH - 628 617</v>
      </c>
      <c r="F3" s="1"/>
      <c r="G3" s="1"/>
      <c r="H3" s="1"/>
      <c r="J3" s="1"/>
      <c r="K3" s="1"/>
      <c r="L3" s="1"/>
      <c r="M3" s="1"/>
      <c r="N3" s="1"/>
    </row>
    <row r="4" spans="1:31" x14ac:dyDescent="0.25">
      <c r="A4" s="74"/>
      <c r="E4" s="1" t="str">
        <f>'IAT-2'!E4</f>
        <v>DEPARTMENT OF ARTIFICIAL INTELLIGENCE AND DATA SCIENCE</v>
      </c>
      <c r="F4" s="1"/>
      <c r="G4" s="1"/>
      <c r="H4" s="1"/>
      <c r="J4" s="1"/>
      <c r="K4" s="1"/>
      <c r="L4" s="1"/>
      <c r="M4" s="1"/>
      <c r="N4" s="1"/>
    </row>
    <row r="5" spans="1:31" x14ac:dyDescent="0.25">
      <c r="A5" s="74"/>
      <c r="E5" s="1" t="s">
        <v>5</v>
      </c>
      <c r="F5" s="1"/>
      <c r="G5" s="1"/>
      <c r="H5" s="1"/>
      <c r="J5" s="1"/>
      <c r="K5" s="1"/>
      <c r="L5" s="1"/>
      <c r="M5" s="1"/>
      <c r="N5" s="1"/>
    </row>
    <row r="6" spans="1:31" x14ac:dyDescent="0.25">
      <c r="A6" s="74"/>
      <c r="E6" s="1" t="s">
        <v>107</v>
      </c>
      <c r="F6" s="1"/>
      <c r="G6" s="1"/>
      <c r="H6" s="1"/>
      <c r="J6" s="1"/>
      <c r="K6" s="1"/>
      <c r="L6" s="1"/>
      <c r="M6" s="1"/>
      <c r="N6" s="1"/>
    </row>
    <row r="7" spans="1:31" x14ac:dyDescent="0.25">
      <c r="B7" s="1"/>
      <c r="C7" s="1"/>
      <c r="D7" s="1"/>
      <c r="E7" s="1"/>
      <c r="F7" s="1"/>
      <c r="G7" s="1"/>
      <c r="H7" s="1"/>
      <c r="I7" s="1"/>
      <c r="J7" s="1"/>
      <c r="K7" s="1"/>
      <c r="L7" s="1"/>
      <c r="M7" s="1"/>
      <c r="N7" s="1"/>
    </row>
    <row r="8" spans="1:31" ht="15.75" x14ac:dyDescent="0.25">
      <c r="A8" s="10" t="str">
        <f>'IAT-1'!A8</f>
        <v>COURSE CODE / NAME: CW3551 DATA AND INFORMATION SECURITY</v>
      </c>
      <c r="B8" s="11"/>
      <c r="C8" s="11"/>
      <c r="D8" s="11"/>
      <c r="E8" s="11"/>
      <c r="F8" s="11"/>
      <c r="G8" s="11" t="str">
        <f>'BL-1'!I9</f>
        <v>CLASS  : III ADS</v>
      </c>
      <c r="H8" s="11"/>
      <c r="J8" s="11"/>
      <c r="K8" s="11" t="str">
        <f>'BL-1'!I8</f>
        <v>BATCH: 2023-2027</v>
      </c>
      <c r="L8" s="11"/>
      <c r="O8" s="11" t="str">
        <f>'BL-1'!M8</f>
        <v>SEM:05</v>
      </c>
      <c r="P8" s="11"/>
      <c r="Q8" s="11"/>
      <c r="X8" s="22"/>
      <c r="Y8" s="22"/>
      <c r="AA8" s="22"/>
    </row>
    <row r="9" spans="1:31" ht="15.75" x14ac:dyDescent="0.25">
      <c r="A9" s="10" t="str">
        <f>'IAT-1'!A9</f>
        <v>COURSE INSTRUCTOR/DESIGNATION: G. ALISHA EVANGELINE,AP/ADS</v>
      </c>
      <c r="B9" s="11"/>
      <c r="C9" s="11"/>
      <c r="D9" s="11"/>
      <c r="F9" s="10" t="str">
        <f>'BL-1'!M9</f>
        <v>DATE:</v>
      </c>
      <c r="G9" s="400">
        <f>'BL-3'!M31</f>
        <v>45246</v>
      </c>
      <c r="H9" s="400"/>
      <c r="I9" s="124"/>
      <c r="J9" s="11" t="str">
        <f>'BL-1'!O9</f>
        <v>TIME:</v>
      </c>
      <c r="K9" s="123" t="s">
        <v>161</v>
      </c>
      <c r="L9" s="11"/>
      <c r="M9" s="92"/>
      <c r="N9" s="408" t="s">
        <v>144</v>
      </c>
      <c r="O9" s="408"/>
      <c r="P9" s="408"/>
      <c r="Q9" s="408"/>
      <c r="R9" s="408"/>
      <c r="S9" s="408"/>
      <c r="T9" s="408"/>
      <c r="U9" s="88">
        <f>'IAT-1'!$Z$9</f>
        <v>57</v>
      </c>
      <c r="V9" s="88"/>
      <c r="W9" s="88"/>
      <c r="X9" s="22"/>
      <c r="Y9" s="22"/>
      <c r="Z9">
        <f>'IAT-1'!$Z$9</f>
        <v>57</v>
      </c>
      <c r="AA9" s="22"/>
    </row>
    <row r="10" spans="1:31" x14ac:dyDescent="0.25">
      <c r="D10" s="8"/>
      <c r="E10" s="8"/>
      <c r="F10" s="8"/>
      <c r="G10" s="8"/>
      <c r="H10" s="8"/>
      <c r="Z10" s="22"/>
      <c r="AA10" s="22"/>
    </row>
    <row r="11" spans="1:31" ht="33" customHeight="1" x14ac:dyDescent="0.25">
      <c r="A11" s="9" t="s">
        <v>9</v>
      </c>
      <c r="B11" s="8"/>
      <c r="C11" s="8"/>
      <c r="F11" s="1"/>
      <c r="O11" s="404" t="s">
        <v>67</v>
      </c>
      <c r="P11" s="410"/>
      <c r="Q11" s="410"/>
      <c r="R11" s="410"/>
      <c r="S11" s="405"/>
      <c r="T11" s="171"/>
      <c r="U11" s="171"/>
      <c r="V11" s="171"/>
      <c r="W11" s="171"/>
      <c r="X11" s="372" t="s">
        <v>11</v>
      </c>
      <c r="Y11" s="373"/>
      <c r="Z11" s="373"/>
      <c r="AA11" s="373"/>
      <c r="AB11" s="374"/>
    </row>
    <row r="12" spans="1:31" ht="15.75" x14ac:dyDescent="0.25">
      <c r="A12" s="12"/>
      <c r="B12" s="1" t="str">
        <f>'BL-1'!A12</f>
        <v>CO 1</v>
      </c>
      <c r="C12" s="209" t="str">
        <f>'BL-1'!B12</f>
        <v>Understand the basics of data and information security</v>
      </c>
      <c r="D12" s="1"/>
      <c r="E12" s="1"/>
      <c r="F12" s="1"/>
      <c r="G12" s="1"/>
      <c r="O12" s="406">
        <v>1</v>
      </c>
      <c r="P12" s="409"/>
      <c r="Q12" s="409"/>
      <c r="R12" s="409"/>
      <c r="S12" s="407"/>
      <c r="T12" s="170"/>
      <c r="U12" s="170"/>
      <c r="V12" s="170"/>
      <c r="W12" s="170"/>
      <c r="X12" s="16" t="s">
        <v>12</v>
      </c>
      <c r="Y12" s="16"/>
      <c r="Z12" s="16"/>
      <c r="AA12" s="16"/>
      <c r="AB12" s="69"/>
    </row>
    <row r="13" spans="1:31" ht="15.75" x14ac:dyDescent="0.25">
      <c r="A13" s="12"/>
      <c r="B13" s="1" t="str">
        <f>'BL-1'!A13</f>
        <v>CO 2</v>
      </c>
      <c r="C13" s="209" t="str">
        <f>'BL-1'!B13</f>
        <v>Understand the legal, ethical and professional issues in information security</v>
      </c>
      <c r="D13" s="1"/>
      <c r="E13" s="1"/>
      <c r="F13" s="1"/>
      <c r="G13" s="1"/>
      <c r="O13" s="406">
        <v>2</v>
      </c>
      <c r="P13" s="409"/>
      <c r="Q13" s="409"/>
      <c r="R13" s="409"/>
      <c r="S13" s="407"/>
      <c r="T13" s="170"/>
      <c r="U13" s="170"/>
      <c r="V13" s="170"/>
      <c r="W13" s="170"/>
      <c r="X13" s="16" t="s">
        <v>14</v>
      </c>
      <c r="Y13" s="16"/>
      <c r="Z13" s="16"/>
      <c r="AA13" s="16"/>
      <c r="AB13" s="69"/>
    </row>
    <row r="14" spans="1:31" ht="15.75" x14ac:dyDescent="0.25">
      <c r="A14" s="12"/>
      <c r="B14" s="1" t="str">
        <f>'BL-1'!A14</f>
        <v>CO 3</v>
      </c>
      <c r="C14" s="209" t="str">
        <f>'BL-1'!B14</f>
        <v>Understand the various authentication schemes to simulate different applications</v>
      </c>
      <c r="D14" s="1"/>
      <c r="O14" s="406">
        <v>3</v>
      </c>
      <c r="P14" s="409"/>
      <c r="Q14" s="409"/>
      <c r="R14" s="409"/>
      <c r="S14" s="407"/>
      <c r="T14" s="170"/>
      <c r="U14" s="170"/>
      <c r="V14" s="170"/>
      <c r="W14" s="170"/>
      <c r="X14" s="16" t="s">
        <v>16</v>
      </c>
      <c r="Y14" s="16"/>
      <c r="Z14" s="16"/>
      <c r="AA14" s="16"/>
      <c r="AB14" s="69"/>
    </row>
    <row r="15" spans="1:31" ht="15.75" x14ac:dyDescent="0.25">
      <c r="A15" s="12"/>
      <c r="B15" s="1" t="str">
        <f>'BL-1'!A15</f>
        <v>CO 4</v>
      </c>
      <c r="C15" s="209" t="str">
        <f>'BL-1'!B15</f>
        <v>Understand various security practices and system security standards</v>
      </c>
      <c r="D15" s="1"/>
      <c r="E15" s="1"/>
      <c r="F15" s="1"/>
      <c r="G15" s="1"/>
      <c r="P15" s="20"/>
      <c r="Q15" s="20"/>
      <c r="R15" s="20"/>
      <c r="S15" s="20"/>
      <c r="T15" s="20"/>
      <c r="U15" s="20"/>
      <c r="V15" s="20"/>
      <c r="W15" s="20"/>
      <c r="X15" s="21"/>
      <c r="Y15" s="21"/>
      <c r="Z15" s="21"/>
      <c r="AA15" s="21"/>
    </row>
    <row r="16" spans="1:31" ht="15.75" x14ac:dyDescent="0.25">
      <c r="A16" s="13"/>
      <c r="B16" s="1" t="str">
        <f>'BL-1'!A16</f>
        <v>CO 5</v>
      </c>
      <c r="C16" s="209" t="str">
        <f>'BL-1'!B16</f>
        <v>Understand the web security protocols for E-commerce applications</v>
      </c>
      <c r="D16" s="1"/>
      <c r="G16" s="1"/>
      <c r="I16" s="417"/>
      <c r="J16" s="417"/>
      <c r="K16" s="95"/>
      <c r="L16" s="368"/>
      <c r="M16" s="368"/>
      <c r="N16" s="368"/>
      <c r="O16" s="368"/>
      <c r="P16" s="368"/>
      <c r="Q16" s="368"/>
      <c r="R16" s="368"/>
      <c r="S16" s="368"/>
      <c r="T16" s="368"/>
      <c r="U16" s="368"/>
      <c r="V16" s="368"/>
      <c r="W16" s="368"/>
      <c r="X16" s="368"/>
      <c r="Y16" s="368"/>
      <c r="Z16" s="368"/>
      <c r="AA16" s="368"/>
      <c r="AB16" s="368"/>
      <c r="AC16" s="368"/>
      <c r="AD16" s="368"/>
      <c r="AE16" s="368"/>
    </row>
    <row r="17" spans="2:31" x14ac:dyDescent="0.25">
      <c r="I17" s="417"/>
      <c r="J17" s="417"/>
      <c r="K17" s="90"/>
      <c r="L17" s="7"/>
      <c r="M17" s="7"/>
      <c r="N17" s="7"/>
      <c r="O17" s="7"/>
      <c r="P17" s="7"/>
      <c r="Q17" s="7"/>
      <c r="R17" s="7"/>
      <c r="S17" s="368"/>
      <c r="T17" s="368"/>
      <c r="U17" s="368"/>
      <c r="V17" s="368"/>
      <c r="W17" s="368"/>
      <c r="X17" s="368"/>
      <c r="Y17" s="368"/>
      <c r="Z17" s="368"/>
      <c r="AA17" s="368"/>
      <c r="AB17" s="368"/>
      <c r="AC17" s="368"/>
      <c r="AD17" s="368"/>
      <c r="AE17" s="368"/>
    </row>
    <row r="18" spans="2:31" x14ac:dyDescent="0.25">
      <c r="D18" s="416" t="s">
        <v>225</v>
      </c>
      <c r="E18" s="416"/>
      <c r="F18" s="416"/>
      <c r="G18" s="416"/>
      <c r="H18" s="416"/>
      <c r="I18" s="416"/>
      <c r="J18" s="416"/>
      <c r="K18" s="416"/>
      <c r="L18" s="416"/>
      <c r="M18" s="416"/>
      <c r="N18" s="416"/>
      <c r="O18" s="416"/>
      <c r="P18" s="90"/>
      <c r="Q18" s="95"/>
      <c r="R18" s="90"/>
      <c r="S18" s="95"/>
      <c r="T18" s="90"/>
      <c r="U18" s="95"/>
      <c r="V18" s="90"/>
      <c r="W18" s="95"/>
      <c r="X18" s="95"/>
      <c r="Y18" s="95"/>
      <c r="Z18" s="95"/>
      <c r="AA18" s="95"/>
      <c r="AB18" s="95"/>
      <c r="AC18" s="95"/>
      <c r="AD18" s="95"/>
      <c r="AE18" s="95"/>
    </row>
    <row r="19" spans="2:31" x14ac:dyDescent="0.25">
      <c r="D19" s="206" t="s">
        <v>21</v>
      </c>
      <c r="E19" s="415" t="s">
        <v>24</v>
      </c>
      <c r="F19" s="415"/>
      <c r="G19" s="416" t="s">
        <v>26</v>
      </c>
      <c r="H19" s="416"/>
      <c r="I19" s="416" t="s">
        <v>22</v>
      </c>
      <c r="J19" s="416"/>
      <c r="K19" s="416" t="s">
        <v>25</v>
      </c>
      <c r="L19" s="416"/>
      <c r="M19" s="416" t="s">
        <v>23</v>
      </c>
      <c r="N19" s="416"/>
      <c r="O19" s="416"/>
      <c r="R19" s="430" t="s">
        <v>145</v>
      </c>
      <c r="S19" s="431"/>
      <c r="T19" s="431"/>
      <c r="U19" s="431"/>
      <c r="V19" s="431"/>
      <c r="W19" s="431"/>
      <c r="X19" s="431"/>
      <c r="Y19" s="432"/>
    </row>
    <row r="20" spans="2:31" ht="19.5" customHeight="1" x14ac:dyDescent="0.25">
      <c r="B20" s="62" t="s">
        <v>6</v>
      </c>
      <c r="C20" s="62" t="s">
        <v>7</v>
      </c>
      <c r="D20" s="64" t="s">
        <v>8</v>
      </c>
      <c r="E20" s="52" t="s">
        <v>35</v>
      </c>
      <c r="F20" s="427" t="s">
        <v>18</v>
      </c>
      <c r="G20" s="428"/>
      <c r="H20" s="428"/>
      <c r="I20" s="428"/>
      <c r="J20" s="429"/>
      <c r="K20" s="418" t="s">
        <v>19</v>
      </c>
      <c r="L20" s="419"/>
      <c r="M20" s="419"/>
      <c r="N20" s="419"/>
      <c r="O20" s="420"/>
      <c r="P20" s="421" t="s">
        <v>192</v>
      </c>
      <c r="Q20" s="422"/>
      <c r="R20" s="421" t="s">
        <v>193</v>
      </c>
      <c r="S20" s="422"/>
      <c r="T20" s="421" t="s">
        <v>194</v>
      </c>
      <c r="U20" s="422"/>
      <c r="V20" s="421" t="s">
        <v>224</v>
      </c>
      <c r="W20" s="422"/>
      <c r="X20" s="421" t="s">
        <v>191</v>
      </c>
      <c r="Y20" s="422"/>
      <c r="Z20" s="433" t="s">
        <v>31</v>
      </c>
      <c r="AA20" s="434"/>
    </row>
    <row r="21" spans="2:31" ht="15" customHeight="1" x14ac:dyDescent="0.25">
      <c r="B21" s="63"/>
      <c r="C21" s="63"/>
      <c r="D21" s="65"/>
      <c r="E21" s="66" t="s">
        <v>96</v>
      </c>
      <c r="F21" s="98">
        <v>1</v>
      </c>
      <c r="G21" s="98">
        <v>2</v>
      </c>
      <c r="H21" s="98">
        <v>3</v>
      </c>
      <c r="I21" s="98">
        <v>4</v>
      </c>
      <c r="J21" s="98">
        <v>5</v>
      </c>
      <c r="K21" s="93">
        <v>6</v>
      </c>
      <c r="L21" s="93">
        <v>7</v>
      </c>
      <c r="M21" s="93">
        <v>8</v>
      </c>
      <c r="N21" s="93">
        <v>9</v>
      </c>
      <c r="O21" s="93">
        <v>10</v>
      </c>
      <c r="P21" s="423"/>
      <c r="Q21" s="424"/>
      <c r="R21" s="423"/>
      <c r="S21" s="424"/>
      <c r="T21" s="423"/>
      <c r="U21" s="424"/>
      <c r="V21" s="423"/>
      <c r="W21" s="424"/>
      <c r="X21" s="423"/>
      <c r="Y21" s="424"/>
      <c r="Z21" s="435"/>
      <c r="AA21" s="436"/>
    </row>
    <row r="22" spans="2:31" ht="15" customHeight="1" x14ac:dyDescent="0.25">
      <c r="B22" s="63"/>
      <c r="C22" s="63"/>
      <c r="D22" s="65"/>
      <c r="E22" s="67"/>
      <c r="F22" s="99"/>
      <c r="G22" s="99"/>
      <c r="H22" s="99"/>
      <c r="I22" s="99"/>
      <c r="J22" s="99"/>
      <c r="K22" s="94"/>
      <c r="L22" s="94"/>
      <c r="M22" s="94"/>
      <c r="N22" s="94"/>
      <c r="O22" s="94"/>
      <c r="P22" s="423"/>
      <c r="Q22" s="424"/>
      <c r="R22" s="423"/>
      <c r="S22" s="424"/>
      <c r="T22" s="423"/>
      <c r="U22" s="424"/>
      <c r="V22" s="423"/>
      <c r="W22" s="424"/>
      <c r="X22" s="423"/>
      <c r="Y22" s="424"/>
      <c r="Z22" s="435"/>
      <c r="AA22" s="436"/>
    </row>
    <row r="23" spans="2:31" ht="15" customHeight="1" x14ac:dyDescent="0.25">
      <c r="B23" s="63"/>
      <c r="C23" s="63"/>
      <c r="D23" s="65"/>
      <c r="E23" s="53" t="s">
        <v>28</v>
      </c>
      <c r="F23" s="33">
        <v>5</v>
      </c>
      <c r="G23" s="33">
        <v>5</v>
      </c>
      <c r="H23" s="33">
        <v>5</v>
      </c>
      <c r="I23" s="33">
        <v>5</v>
      </c>
      <c r="J23" s="34">
        <v>5</v>
      </c>
      <c r="K23" s="34">
        <v>5</v>
      </c>
      <c r="L23" s="34">
        <v>5</v>
      </c>
      <c r="M23" s="33">
        <v>5</v>
      </c>
      <c r="N23" s="33">
        <v>5</v>
      </c>
      <c r="O23" s="33">
        <v>5</v>
      </c>
      <c r="P23" s="423"/>
      <c r="Q23" s="424"/>
      <c r="R23" s="423"/>
      <c r="S23" s="424"/>
      <c r="T23" s="423"/>
      <c r="U23" s="424"/>
      <c r="V23" s="423"/>
      <c r="W23" s="424"/>
      <c r="X23" s="423"/>
      <c r="Y23" s="424"/>
      <c r="Z23" s="435"/>
      <c r="AA23" s="436"/>
    </row>
    <row r="24" spans="2:31" ht="15" customHeight="1" x14ac:dyDescent="0.25">
      <c r="B24" s="63"/>
      <c r="C24" s="63"/>
      <c r="D24" s="65"/>
      <c r="E24" s="53" t="s">
        <v>29</v>
      </c>
      <c r="F24" s="35" t="str">
        <f>IF('BL-3'!C25="ü","L1",IF('BL-3'!C26="ü","L2",IF('BL-3'!C27="ü","L3",IF('BL-3'!C28="ü","L4",IF('BL-3'!C29="ü","L5","L6")))))</f>
        <v>L6</v>
      </c>
      <c r="G24" s="35" t="str">
        <f>IF('BL-3'!D25="ü","L1",IF('BL-3'!D26="ü","L2",IF('BL-3'!D27="ü","L3",IF('BL-3'!D28="ü","L4",IF('BL-3'!D29="ü","L5","L6")))))</f>
        <v>L6</v>
      </c>
      <c r="H24" s="35" t="str">
        <f>IF('BL-3'!E25="ü","L1",IF('BL-3'!E26="ü","L2",IF('BL-3'!E27="ü","L3",IF('BL-3'!E28="ü","L4",IF('BL-3'!E29="ü","L5","L6")))))</f>
        <v>L6</v>
      </c>
      <c r="I24" s="35" t="str">
        <f>IF('BL-3'!F25="ü","L1",IF('BL-3'!F26="ü","L2",IF('BL-3'!F27="ü","L3",IF('BL-3'!F28="ü","L4",IF('BL-3'!F29="ü","L5","L6")))))</f>
        <v>L6</v>
      </c>
      <c r="J24" s="36" t="str">
        <f>IF('BL-3'!G25="ü","L1",IF('BL-3'!G26="ü","L2",IF('BL-3'!G27="ü","L3",IF('BL-3'!G28="ü","L4",IF('BL-3'!G29="ü","L5","L6")))))</f>
        <v>L6</v>
      </c>
      <c r="K24" s="37" t="str">
        <f>IF('BL-3'!H25="ü","L1",IF('BL-3'!H26="ü","L2",IF('BL-3'!H27="ü","L3",IF('BL-3'!H28="ü","L4",IF('BL-3'!H29="ü","L5","L6")))))</f>
        <v>L6</v>
      </c>
      <c r="L24" s="38" t="str">
        <f>IF('BL-3'!I25="ü","L1",IF('BL-3'!I26="ü","L2",IF('BL-3'!I27="ü","L3",IF('BL-3'!I28="ü","L4",IF('BL-3'!I29="ü","L5","L6")))))</f>
        <v>L6</v>
      </c>
      <c r="M24" s="35" t="str">
        <f>IF('BL-3'!J25="ü","L1",IF('BL-3'!J26="ü","L2",IF('BL-3'!J27="ü","L3",IF('BL-3'!J28="ü","L4",IF('BL-3'!J29="ü","L5","L6")))))</f>
        <v>L6</v>
      </c>
      <c r="N24" s="35" t="str">
        <f>IF('BL-3'!K25="ü","L1",IF('BL-3'!K26="ü","L2",IF('BL-3'!K27="ü","L3",IF('BL-3'!K28="ü","L4",IF('BL-3'!K29="ü","L5","L6")))))</f>
        <v>L6</v>
      </c>
      <c r="O24" s="35" t="str">
        <f>IF('BL-3'!L25="ü","L1",IF('BL-3'!L26="ü","L2",IF('BL-3'!L27="ü","L3",IF('BL-3'!L28="ü","L4",IF('BL-3'!L29="ü","L5","L6")))))</f>
        <v>L6</v>
      </c>
      <c r="P24" s="425"/>
      <c r="Q24" s="426"/>
      <c r="R24" s="425"/>
      <c r="S24" s="426"/>
      <c r="T24" s="425"/>
      <c r="U24" s="426"/>
      <c r="V24" s="425"/>
      <c r="W24" s="426"/>
      <c r="X24" s="425"/>
      <c r="Y24" s="426"/>
      <c r="Z24" s="437"/>
      <c r="AA24" s="438"/>
    </row>
    <row r="25" spans="2:31" ht="15" customHeight="1" x14ac:dyDescent="0.25">
      <c r="B25" s="63"/>
      <c r="C25" s="63"/>
      <c r="D25" s="65"/>
      <c r="E25" s="61" t="s">
        <v>30</v>
      </c>
      <c r="F25" s="61">
        <v>2</v>
      </c>
      <c r="G25" s="61">
        <v>2</v>
      </c>
      <c r="H25" s="61">
        <v>2</v>
      </c>
      <c r="I25" s="61">
        <v>2</v>
      </c>
      <c r="J25" s="61">
        <v>2</v>
      </c>
      <c r="K25" s="61">
        <v>8</v>
      </c>
      <c r="L25" s="61">
        <v>8</v>
      </c>
      <c r="M25" s="61">
        <v>8</v>
      </c>
      <c r="N25" s="61">
        <v>8</v>
      </c>
      <c r="O25" s="61">
        <v>8</v>
      </c>
      <c r="P25" s="68">
        <f>SUMIF('BL-3'!$C$20:$L$20,"*",'IAT-3'!F25:O25)</f>
        <v>0</v>
      </c>
      <c r="Q25" s="68">
        <v>100</v>
      </c>
      <c r="R25" s="68">
        <f>SUMIF('BL-3'!$C$21:$L$21,"*",'IAT-3'!F25:O25)</f>
        <v>0</v>
      </c>
      <c r="S25" s="68">
        <v>100</v>
      </c>
      <c r="T25" s="68">
        <f>SUMIF('BL-3'!$C$22:$L$22,"*",'IAT-3'!F25:O25)</f>
        <v>0</v>
      </c>
      <c r="U25" s="68">
        <v>100</v>
      </c>
      <c r="V25" s="68">
        <f>SUMIF('BL-3'!$C$23:$L$23,"*",'IAT-3'!F25:O25)</f>
        <v>0</v>
      </c>
      <c r="W25" s="68">
        <v>100</v>
      </c>
      <c r="X25" s="68">
        <f>SUMIF('BL-3'!$C$24:$L$24,"*",'IAT-3'!F25:O25)</f>
        <v>0</v>
      </c>
      <c r="Y25" s="68">
        <v>100</v>
      </c>
      <c r="Z25" s="91">
        <v>50</v>
      </c>
      <c r="AA25" s="91">
        <f>Z25*2</f>
        <v>100</v>
      </c>
    </row>
    <row r="26" spans="2:31" ht="15" customHeight="1" x14ac:dyDescent="0.25">
      <c r="B26" s="2">
        <v>1</v>
      </c>
      <c r="C26" s="120">
        <f>'IAT-1'!C26</f>
        <v>951323243001</v>
      </c>
      <c r="D26" s="119" t="str">
        <f>'IAT-1'!D26</f>
        <v>ABINAYA S</v>
      </c>
      <c r="E26" s="27"/>
      <c r="F26" s="114">
        <f>'I3'!D15</f>
        <v>0</v>
      </c>
      <c r="G26" s="115">
        <f>'I3'!E15</f>
        <v>0</v>
      </c>
      <c r="H26" s="114">
        <f>'I3'!F15</f>
        <v>0</v>
      </c>
      <c r="I26" s="115">
        <f>'I3'!G15</f>
        <v>0</v>
      </c>
      <c r="J26" s="114">
        <f>'I3'!H15</f>
        <v>0</v>
      </c>
      <c r="K26" s="115">
        <f>'I3'!I15</f>
        <v>0</v>
      </c>
      <c r="L26" s="114">
        <f>'I3'!J15</f>
        <v>0</v>
      </c>
      <c r="M26" s="115">
        <f>'I3'!K15</f>
        <v>0</v>
      </c>
      <c r="N26" s="114">
        <f>'I3'!L15</f>
        <v>0</v>
      </c>
      <c r="O26" s="115">
        <f>'I3'!M15</f>
        <v>0</v>
      </c>
      <c r="P26" s="201">
        <f>SUMIF('BL-3'!$C$20:$L$20,"*",'IAT-3'!F26:O26)</f>
        <v>0</v>
      </c>
      <c r="Q26" s="202">
        <f>ROUND(IFERROR(P26/P$25,0)*100,1)</f>
        <v>0</v>
      </c>
      <c r="R26" s="199">
        <f>SUMIF('BL-3'!$C$21:$L$21,"*",'IAT-3'!F26:O26)</f>
        <v>0</v>
      </c>
      <c r="S26" s="200">
        <f>ROUND(IFERROR(R26/R$25,0)*100,1)</f>
        <v>0</v>
      </c>
      <c r="T26" s="197">
        <f>SUMIF('BL-3'!$C$22:$L$22,"*",'IAT-3'!F26:O26)</f>
        <v>0</v>
      </c>
      <c r="U26" s="198">
        <f>ROUND(IFERROR(T26/T$25,0)*100,1)</f>
        <v>0</v>
      </c>
      <c r="V26" s="100">
        <f>SUMIF('BL-3'!$C$23:$L$23,"*",'IAT-3'!F26:O26)</f>
        <v>0</v>
      </c>
      <c r="W26" s="96">
        <f>ROUND(IFERROR(V26/V$25,0)*100,1)</f>
        <v>0</v>
      </c>
      <c r="X26" s="203">
        <f>SUMIF('BL-3'!$C$24:$L$24,"*",'IAT-3'!F26:O26)</f>
        <v>0</v>
      </c>
      <c r="Y26" s="97">
        <f>ROUND(IFERROR(X26/X$25,0)*100,1)</f>
        <v>0</v>
      </c>
      <c r="Z26" s="4">
        <f>SUM(P26,R26,T26,V26,X26)</f>
        <v>0</v>
      </c>
      <c r="AA26" s="4">
        <f>Z26*2</f>
        <v>0</v>
      </c>
    </row>
    <row r="27" spans="2:31" x14ac:dyDescent="0.25">
      <c r="B27" s="2">
        <v>2</v>
      </c>
      <c r="C27" s="120">
        <f>'IAT-1'!C27</f>
        <v>951323243002</v>
      </c>
      <c r="D27" s="119" t="str">
        <f>'IAT-1'!D27</f>
        <v>ABISHEK S</v>
      </c>
      <c r="E27" s="27"/>
      <c r="F27" s="114">
        <f>'I3'!D16</f>
        <v>0</v>
      </c>
      <c r="G27" s="115">
        <f>'I3'!E16</f>
        <v>0</v>
      </c>
      <c r="H27" s="114">
        <f>'I3'!F16</f>
        <v>0</v>
      </c>
      <c r="I27" s="115">
        <f>'I3'!G16</f>
        <v>0</v>
      </c>
      <c r="J27" s="114">
        <f>'I3'!H16</f>
        <v>0</v>
      </c>
      <c r="K27" s="115">
        <f>'I3'!I16</f>
        <v>0</v>
      </c>
      <c r="L27" s="114">
        <f>'I3'!J16</f>
        <v>0</v>
      </c>
      <c r="M27" s="115">
        <f>'I3'!K16</f>
        <v>0</v>
      </c>
      <c r="N27" s="114">
        <f>'I3'!L16</f>
        <v>0</v>
      </c>
      <c r="O27" s="115">
        <f>'I3'!M16</f>
        <v>0</v>
      </c>
      <c r="P27" s="201">
        <f>SUMIF('BL-3'!$C$20:$L$20,"*",'IAT-3'!F27:O27)</f>
        <v>0</v>
      </c>
      <c r="Q27" s="202">
        <f t="shared" ref="Q27:Q84" si="0">ROUND(IFERROR(P27/P$25,0)*100,1)</f>
        <v>0</v>
      </c>
      <c r="R27" s="199">
        <f>SUMIF('BL-3'!$C$21:$L$21,"*",'IAT-3'!F27:O27)</f>
        <v>0</v>
      </c>
      <c r="S27" s="200">
        <f t="shared" ref="S27:S84" si="1">ROUND(IFERROR(R27/R$25,0)*100,1)</f>
        <v>0</v>
      </c>
      <c r="T27" s="197">
        <f>SUMIF('BL-3'!$C$22:$L$22,"*",'IAT-3'!F27:O27)</f>
        <v>0</v>
      </c>
      <c r="U27" s="198">
        <f t="shared" ref="U27:U84" si="2">ROUND(IFERROR(T27/T$25,0)*100,1)</f>
        <v>0</v>
      </c>
      <c r="V27" s="100">
        <f>SUMIF('BL-3'!$C$23:$L$23,"*",'IAT-3'!F27:O27)</f>
        <v>0</v>
      </c>
      <c r="W27" s="96">
        <f t="shared" ref="W27:W84" si="3">ROUND(IFERROR(V27/V$25,0)*100,1)</f>
        <v>0</v>
      </c>
      <c r="X27" s="203">
        <f>SUMIF('BL-3'!$C$24:$L$24,"*",'IAT-3'!F27:O27)</f>
        <v>0</v>
      </c>
      <c r="Y27" s="97">
        <f t="shared" ref="Y27:Y84" si="4">ROUND(IFERROR(X27/X$25,0)*100,1)</f>
        <v>0</v>
      </c>
      <c r="Z27" s="4">
        <f t="shared" ref="Z27:Z84" si="5">SUM(P27,R27,T27,V27,X27)</f>
        <v>0</v>
      </c>
      <c r="AA27" s="4">
        <f t="shared" ref="AA27:AA84" si="6">Z27*2</f>
        <v>0</v>
      </c>
    </row>
    <row r="28" spans="2:31" x14ac:dyDescent="0.25">
      <c r="B28" s="2">
        <v>3</v>
      </c>
      <c r="C28" s="120">
        <f>'IAT-1'!C28</f>
        <v>951323243003</v>
      </c>
      <c r="D28" s="119" t="str">
        <f>'IAT-1'!D28</f>
        <v>AJEETHA S</v>
      </c>
      <c r="E28" s="27"/>
      <c r="F28" s="114">
        <f>'I3'!D17</f>
        <v>0</v>
      </c>
      <c r="G28" s="115">
        <f>'I3'!E17</f>
        <v>0</v>
      </c>
      <c r="H28" s="114">
        <f>'I3'!F17</f>
        <v>0</v>
      </c>
      <c r="I28" s="115">
        <f>'I3'!G17</f>
        <v>0</v>
      </c>
      <c r="J28" s="114">
        <f>'I3'!H17</f>
        <v>0</v>
      </c>
      <c r="K28" s="115">
        <f>'I3'!I17</f>
        <v>0</v>
      </c>
      <c r="L28" s="114">
        <f>'I3'!J17</f>
        <v>0</v>
      </c>
      <c r="M28" s="115">
        <f>'I3'!K17</f>
        <v>0</v>
      </c>
      <c r="N28" s="114">
        <f>'I3'!L17</f>
        <v>0</v>
      </c>
      <c r="O28" s="115">
        <f>'I3'!M17</f>
        <v>0</v>
      </c>
      <c r="P28" s="201">
        <f>SUMIF('BL-3'!$C$20:$L$20,"*",'IAT-3'!F28:O28)</f>
        <v>0</v>
      </c>
      <c r="Q28" s="202">
        <f t="shared" si="0"/>
        <v>0</v>
      </c>
      <c r="R28" s="199">
        <f>SUMIF('BL-3'!$C$21:$L$21,"*",'IAT-3'!F28:O28)</f>
        <v>0</v>
      </c>
      <c r="S28" s="200">
        <f t="shared" si="1"/>
        <v>0</v>
      </c>
      <c r="T28" s="197">
        <f>SUMIF('BL-3'!$C$22:$L$22,"*",'IAT-3'!F28:O28)</f>
        <v>0</v>
      </c>
      <c r="U28" s="198">
        <f t="shared" si="2"/>
        <v>0</v>
      </c>
      <c r="V28" s="100">
        <f>SUMIF('BL-3'!$C$23:$L$23,"*",'IAT-3'!F28:O28)</f>
        <v>0</v>
      </c>
      <c r="W28" s="96">
        <f t="shared" si="3"/>
        <v>0</v>
      </c>
      <c r="X28" s="203">
        <f>SUMIF('BL-3'!$C$24:$L$24,"*",'IAT-3'!F28:O28)</f>
        <v>0</v>
      </c>
      <c r="Y28" s="97">
        <f t="shared" si="4"/>
        <v>0</v>
      </c>
      <c r="Z28" s="4">
        <f t="shared" si="5"/>
        <v>0</v>
      </c>
      <c r="AA28" s="4">
        <f t="shared" si="6"/>
        <v>0</v>
      </c>
    </row>
    <row r="29" spans="2:31" x14ac:dyDescent="0.25">
      <c r="B29" s="2">
        <v>4</v>
      </c>
      <c r="C29" s="120">
        <f>'IAT-1'!C29</f>
        <v>951323243004</v>
      </c>
      <c r="D29" s="119" t="str">
        <f>'IAT-1'!D29</f>
        <v>AJIM FAYAZ K M S</v>
      </c>
      <c r="E29" s="27"/>
      <c r="F29" s="114">
        <f>'I3'!D18</f>
        <v>0</v>
      </c>
      <c r="G29" s="115">
        <f>'I3'!E18</f>
        <v>0</v>
      </c>
      <c r="H29" s="114">
        <f>'I3'!F18</f>
        <v>0</v>
      </c>
      <c r="I29" s="115">
        <f>'I3'!G18</f>
        <v>0</v>
      </c>
      <c r="J29" s="114">
        <f>'I3'!H18</f>
        <v>0</v>
      </c>
      <c r="K29" s="115">
        <f>'I3'!I18</f>
        <v>0</v>
      </c>
      <c r="L29" s="114">
        <f>'I3'!J18</f>
        <v>0</v>
      </c>
      <c r="M29" s="115">
        <f>'I3'!K18</f>
        <v>0</v>
      </c>
      <c r="N29" s="114">
        <f>'I3'!L18</f>
        <v>0</v>
      </c>
      <c r="O29" s="115">
        <f>'I3'!M18</f>
        <v>0</v>
      </c>
      <c r="P29" s="201">
        <f>SUMIF('BL-3'!$C$20:$L$20,"*",'IAT-3'!F29:O29)</f>
        <v>0</v>
      </c>
      <c r="Q29" s="202">
        <f t="shared" si="0"/>
        <v>0</v>
      </c>
      <c r="R29" s="199">
        <f>SUMIF('BL-3'!$C$21:$L$21,"*",'IAT-3'!F29:O29)</f>
        <v>0</v>
      </c>
      <c r="S29" s="200">
        <f t="shared" si="1"/>
        <v>0</v>
      </c>
      <c r="T29" s="197">
        <f>SUMIF('BL-3'!$C$22:$L$22,"*",'IAT-3'!F29:O29)</f>
        <v>0</v>
      </c>
      <c r="U29" s="198">
        <f t="shared" si="2"/>
        <v>0</v>
      </c>
      <c r="V29" s="100">
        <f>SUMIF('BL-3'!$C$23:$L$23,"*",'IAT-3'!F29:O29)</f>
        <v>0</v>
      </c>
      <c r="W29" s="96">
        <f t="shared" si="3"/>
        <v>0</v>
      </c>
      <c r="X29" s="203">
        <f>SUMIF('BL-3'!$C$24:$L$24,"*",'IAT-3'!F29:O29)</f>
        <v>0</v>
      </c>
      <c r="Y29" s="97">
        <f t="shared" si="4"/>
        <v>0</v>
      </c>
      <c r="Z29" s="4">
        <f t="shared" si="5"/>
        <v>0</v>
      </c>
      <c r="AA29" s="4">
        <f t="shared" si="6"/>
        <v>0</v>
      </c>
    </row>
    <row r="30" spans="2:31" x14ac:dyDescent="0.25">
      <c r="B30" s="2">
        <v>5</v>
      </c>
      <c r="C30" s="120">
        <f>'IAT-1'!C30</f>
        <v>951323243005</v>
      </c>
      <c r="D30" s="119" t="str">
        <f>'IAT-1'!D30</f>
        <v>ALPHONES CRUZ NAVEEN J</v>
      </c>
      <c r="E30" s="27"/>
      <c r="F30" s="114">
        <f>'I3'!D19</f>
        <v>0</v>
      </c>
      <c r="G30" s="115">
        <f>'I3'!E19</f>
        <v>0</v>
      </c>
      <c r="H30" s="114">
        <f>'I3'!F19</f>
        <v>0</v>
      </c>
      <c r="I30" s="115">
        <f>'I3'!G19</f>
        <v>0</v>
      </c>
      <c r="J30" s="114">
        <f>'I3'!H19</f>
        <v>0</v>
      </c>
      <c r="K30" s="115">
        <f>'I3'!I19</f>
        <v>0</v>
      </c>
      <c r="L30" s="114">
        <f>'I3'!J19</f>
        <v>0</v>
      </c>
      <c r="M30" s="115">
        <f>'I3'!K19</f>
        <v>0</v>
      </c>
      <c r="N30" s="114">
        <f>'I3'!L19</f>
        <v>0</v>
      </c>
      <c r="O30" s="115">
        <f>'I3'!M19</f>
        <v>0</v>
      </c>
      <c r="P30" s="201">
        <f>SUMIF('BL-3'!$C$20:$L$20,"*",'IAT-3'!F30:O30)</f>
        <v>0</v>
      </c>
      <c r="Q30" s="202">
        <f t="shared" si="0"/>
        <v>0</v>
      </c>
      <c r="R30" s="199">
        <f>SUMIF('BL-3'!$C$21:$L$21,"*",'IAT-3'!F30:O30)</f>
        <v>0</v>
      </c>
      <c r="S30" s="200">
        <f t="shared" si="1"/>
        <v>0</v>
      </c>
      <c r="T30" s="197">
        <f>SUMIF('BL-3'!$C$22:$L$22,"*",'IAT-3'!F30:O30)</f>
        <v>0</v>
      </c>
      <c r="U30" s="198">
        <f t="shared" si="2"/>
        <v>0</v>
      </c>
      <c r="V30" s="100">
        <f>SUMIF('BL-3'!$C$23:$L$23,"*",'IAT-3'!F30:O30)</f>
        <v>0</v>
      </c>
      <c r="W30" s="96">
        <f t="shared" si="3"/>
        <v>0</v>
      </c>
      <c r="X30" s="203">
        <f>SUMIF('BL-3'!$C$24:$L$24,"*",'IAT-3'!F30:O30)</f>
        <v>0</v>
      </c>
      <c r="Y30" s="97">
        <f t="shared" si="4"/>
        <v>0</v>
      </c>
      <c r="Z30" s="4">
        <f t="shared" si="5"/>
        <v>0</v>
      </c>
      <c r="AA30" s="4">
        <f t="shared" si="6"/>
        <v>0</v>
      </c>
    </row>
    <row r="31" spans="2:31" x14ac:dyDescent="0.25">
      <c r="B31" s="2">
        <v>6</v>
      </c>
      <c r="C31" s="120">
        <f>'IAT-1'!C31</f>
        <v>951323243006</v>
      </c>
      <c r="D31" s="119" t="str">
        <f>'IAT-1'!D31</f>
        <v>ANGEL AGNES D</v>
      </c>
      <c r="E31" s="27"/>
      <c r="F31" s="114">
        <f>'I3'!D20</f>
        <v>0</v>
      </c>
      <c r="G31" s="115">
        <f>'I3'!E20</f>
        <v>0</v>
      </c>
      <c r="H31" s="114">
        <f>'I3'!F20</f>
        <v>0</v>
      </c>
      <c r="I31" s="115">
        <f>'I3'!G20</f>
        <v>0</v>
      </c>
      <c r="J31" s="114">
        <f>'I3'!H20</f>
        <v>0</v>
      </c>
      <c r="K31" s="115">
        <f>'I3'!I20</f>
        <v>0</v>
      </c>
      <c r="L31" s="114">
        <f>'I3'!J20</f>
        <v>0</v>
      </c>
      <c r="M31" s="115">
        <f>'I3'!K20</f>
        <v>0</v>
      </c>
      <c r="N31" s="114">
        <f>'I3'!L20</f>
        <v>0</v>
      </c>
      <c r="O31" s="115">
        <f>'I3'!M20</f>
        <v>0</v>
      </c>
      <c r="P31" s="201">
        <f>SUMIF('BL-3'!$C$20:$L$20,"*",'IAT-3'!F31:O31)</f>
        <v>0</v>
      </c>
      <c r="Q31" s="202">
        <f t="shared" si="0"/>
        <v>0</v>
      </c>
      <c r="R31" s="199">
        <f>SUMIF('BL-3'!$C$21:$L$21,"*",'IAT-3'!F31:O31)</f>
        <v>0</v>
      </c>
      <c r="S31" s="200">
        <f t="shared" si="1"/>
        <v>0</v>
      </c>
      <c r="T31" s="197">
        <f>SUMIF('BL-3'!$C$22:$L$22,"*",'IAT-3'!F31:O31)</f>
        <v>0</v>
      </c>
      <c r="U31" s="198">
        <f t="shared" si="2"/>
        <v>0</v>
      </c>
      <c r="V31" s="100">
        <f>SUMIF('BL-3'!$C$23:$L$23,"*",'IAT-3'!F31:O31)</f>
        <v>0</v>
      </c>
      <c r="W31" s="96">
        <f t="shared" si="3"/>
        <v>0</v>
      </c>
      <c r="X31" s="203">
        <f>SUMIF('BL-3'!$C$24:$L$24,"*",'IAT-3'!F31:O31)</f>
        <v>0</v>
      </c>
      <c r="Y31" s="97">
        <f t="shared" si="4"/>
        <v>0</v>
      </c>
      <c r="Z31" s="4">
        <f t="shared" si="5"/>
        <v>0</v>
      </c>
      <c r="AA31" s="4">
        <f t="shared" si="6"/>
        <v>0</v>
      </c>
    </row>
    <row r="32" spans="2:31" x14ac:dyDescent="0.25">
      <c r="B32" s="2">
        <v>7</v>
      </c>
      <c r="C32" s="120">
        <f>'IAT-1'!C32</f>
        <v>951323243007</v>
      </c>
      <c r="D32" s="119" t="str">
        <f>'IAT-1'!D32</f>
        <v>ANUSHA P</v>
      </c>
      <c r="E32" s="27"/>
      <c r="F32" s="114">
        <f>'I3'!D21</f>
        <v>0</v>
      </c>
      <c r="G32" s="115">
        <f>'I3'!E21</f>
        <v>0</v>
      </c>
      <c r="H32" s="114">
        <f>'I3'!F21</f>
        <v>0</v>
      </c>
      <c r="I32" s="115">
        <f>'I3'!G21</f>
        <v>0</v>
      </c>
      <c r="J32" s="114">
        <f>'I3'!H21</f>
        <v>0</v>
      </c>
      <c r="K32" s="115">
        <f>'I3'!I21</f>
        <v>0</v>
      </c>
      <c r="L32" s="114">
        <f>'I3'!J21</f>
        <v>0</v>
      </c>
      <c r="M32" s="115">
        <f>'I3'!K21</f>
        <v>0</v>
      </c>
      <c r="N32" s="114">
        <f>'I3'!L21</f>
        <v>0</v>
      </c>
      <c r="O32" s="115">
        <f>'I3'!M21</f>
        <v>0</v>
      </c>
      <c r="P32" s="201">
        <f>SUMIF('BL-3'!$C$20:$L$20,"*",'IAT-3'!F32:O32)</f>
        <v>0</v>
      </c>
      <c r="Q32" s="202">
        <f t="shared" si="0"/>
        <v>0</v>
      </c>
      <c r="R32" s="199">
        <f>SUMIF('BL-3'!$C$21:$L$21,"*",'IAT-3'!F32:O32)</f>
        <v>0</v>
      </c>
      <c r="S32" s="200">
        <f t="shared" si="1"/>
        <v>0</v>
      </c>
      <c r="T32" s="197">
        <f>SUMIF('BL-3'!$C$22:$L$22,"*",'IAT-3'!F32:O32)</f>
        <v>0</v>
      </c>
      <c r="U32" s="198">
        <f t="shared" si="2"/>
        <v>0</v>
      </c>
      <c r="V32" s="100">
        <f>SUMIF('BL-3'!$C$23:$L$23,"*",'IAT-3'!F32:O32)</f>
        <v>0</v>
      </c>
      <c r="W32" s="96">
        <f t="shared" si="3"/>
        <v>0</v>
      </c>
      <c r="X32" s="203">
        <f>SUMIF('BL-3'!$C$24:$L$24,"*",'IAT-3'!F32:O32)</f>
        <v>0</v>
      </c>
      <c r="Y32" s="97">
        <f t="shared" si="4"/>
        <v>0</v>
      </c>
      <c r="Z32" s="4">
        <f t="shared" si="5"/>
        <v>0</v>
      </c>
      <c r="AA32" s="4">
        <f t="shared" si="6"/>
        <v>0</v>
      </c>
    </row>
    <row r="33" spans="2:27" x14ac:dyDescent="0.25">
      <c r="B33" s="2">
        <v>8</v>
      </c>
      <c r="C33" s="120">
        <f>'IAT-1'!C33</f>
        <v>951323243008</v>
      </c>
      <c r="D33" s="119" t="str">
        <f>'IAT-1'!D33</f>
        <v>ARIBA M</v>
      </c>
      <c r="E33" s="27"/>
      <c r="F33" s="114">
        <f>'I3'!D22</f>
        <v>0</v>
      </c>
      <c r="G33" s="115">
        <f>'I3'!E22</f>
        <v>0</v>
      </c>
      <c r="H33" s="114">
        <f>'I3'!F22</f>
        <v>0</v>
      </c>
      <c r="I33" s="115">
        <f>'I3'!G22</f>
        <v>0</v>
      </c>
      <c r="J33" s="114">
        <f>'I3'!H22</f>
        <v>0</v>
      </c>
      <c r="K33" s="115">
        <f>'I3'!I22</f>
        <v>0</v>
      </c>
      <c r="L33" s="114">
        <f>'I3'!J22</f>
        <v>0</v>
      </c>
      <c r="M33" s="115">
        <f>'I3'!K22</f>
        <v>0</v>
      </c>
      <c r="N33" s="114">
        <f>'I3'!L22</f>
        <v>0</v>
      </c>
      <c r="O33" s="115">
        <f>'I3'!M22</f>
        <v>0</v>
      </c>
      <c r="P33" s="201">
        <f>SUMIF('BL-3'!$C$20:$L$20,"*",'IAT-3'!F33:O33)</f>
        <v>0</v>
      </c>
      <c r="Q33" s="202">
        <f t="shared" si="0"/>
        <v>0</v>
      </c>
      <c r="R33" s="199">
        <f>SUMIF('BL-3'!$C$21:$L$21,"*",'IAT-3'!F33:O33)</f>
        <v>0</v>
      </c>
      <c r="S33" s="200">
        <f t="shared" si="1"/>
        <v>0</v>
      </c>
      <c r="T33" s="197">
        <f>SUMIF('BL-3'!$C$22:$L$22,"*",'IAT-3'!F33:O33)</f>
        <v>0</v>
      </c>
      <c r="U33" s="198">
        <f t="shared" si="2"/>
        <v>0</v>
      </c>
      <c r="V33" s="100">
        <f>SUMIF('BL-3'!$C$23:$L$23,"*",'IAT-3'!F33:O33)</f>
        <v>0</v>
      </c>
      <c r="W33" s="96">
        <f t="shared" si="3"/>
        <v>0</v>
      </c>
      <c r="X33" s="203">
        <f>SUMIF('BL-3'!$C$24:$L$24,"*",'IAT-3'!F33:O33)</f>
        <v>0</v>
      </c>
      <c r="Y33" s="97">
        <f t="shared" si="4"/>
        <v>0</v>
      </c>
      <c r="Z33" s="4">
        <f t="shared" si="5"/>
        <v>0</v>
      </c>
      <c r="AA33" s="4">
        <f t="shared" si="6"/>
        <v>0</v>
      </c>
    </row>
    <row r="34" spans="2:27" x14ac:dyDescent="0.25">
      <c r="B34" s="2">
        <v>9</v>
      </c>
      <c r="C34" s="120">
        <f>'IAT-1'!C34</f>
        <v>951323243009</v>
      </c>
      <c r="D34" s="119" t="str">
        <f>'IAT-1'!D34</f>
        <v>BALADHARSHINI S</v>
      </c>
      <c r="E34" s="27"/>
      <c r="F34" s="114">
        <f>'I3'!D23</f>
        <v>0</v>
      </c>
      <c r="G34" s="115">
        <f>'I3'!E23</f>
        <v>0</v>
      </c>
      <c r="H34" s="114">
        <f>'I3'!F23</f>
        <v>0</v>
      </c>
      <c r="I34" s="115">
        <f>'I3'!G23</f>
        <v>0</v>
      </c>
      <c r="J34" s="114">
        <f>'I3'!H23</f>
        <v>0</v>
      </c>
      <c r="K34" s="115">
        <f>'I3'!I23</f>
        <v>0</v>
      </c>
      <c r="L34" s="114">
        <f>'I3'!J23</f>
        <v>0</v>
      </c>
      <c r="M34" s="115">
        <f>'I3'!K23</f>
        <v>0</v>
      </c>
      <c r="N34" s="114">
        <f>'I3'!L23</f>
        <v>0</v>
      </c>
      <c r="O34" s="115">
        <f>'I3'!M23</f>
        <v>0</v>
      </c>
      <c r="P34" s="201">
        <f>SUMIF('BL-3'!$C$20:$L$20,"*",'IAT-3'!F34:O34)</f>
        <v>0</v>
      </c>
      <c r="Q34" s="202">
        <f t="shared" si="0"/>
        <v>0</v>
      </c>
      <c r="R34" s="199">
        <f>SUMIF('BL-3'!$C$21:$L$21,"*",'IAT-3'!F34:O34)</f>
        <v>0</v>
      </c>
      <c r="S34" s="200">
        <f t="shared" si="1"/>
        <v>0</v>
      </c>
      <c r="T34" s="197">
        <f>SUMIF('BL-3'!$C$22:$L$22,"*",'IAT-3'!F34:O34)</f>
        <v>0</v>
      </c>
      <c r="U34" s="198">
        <f t="shared" si="2"/>
        <v>0</v>
      </c>
      <c r="V34" s="100">
        <f>SUMIF('BL-3'!$C$23:$L$23,"*",'IAT-3'!F34:O34)</f>
        <v>0</v>
      </c>
      <c r="W34" s="96">
        <f t="shared" si="3"/>
        <v>0</v>
      </c>
      <c r="X34" s="203">
        <f>SUMIF('BL-3'!$C$24:$L$24,"*",'IAT-3'!F34:O34)</f>
        <v>0</v>
      </c>
      <c r="Y34" s="97">
        <f t="shared" si="4"/>
        <v>0</v>
      </c>
      <c r="Z34" s="4">
        <f t="shared" si="5"/>
        <v>0</v>
      </c>
      <c r="AA34" s="4">
        <f t="shared" si="6"/>
        <v>0</v>
      </c>
    </row>
    <row r="35" spans="2:27" x14ac:dyDescent="0.25">
      <c r="B35" s="2">
        <v>10</v>
      </c>
      <c r="C35" s="120">
        <f>'IAT-1'!C35</f>
        <v>951323243010</v>
      </c>
      <c r="D35" s="119" t="str">
        <f>'IAT-1'!D35</f>
        <v>BALASANKAR AYYAPPAN M</v>
      </c>
      <c r="E35" s="27"/>
      <c r="F35" s="114">
        <f>'I3'!D24</f>
        <v>0</v>
      </c>
      <c r="G35" s="115">
        <f>'I3'!E24</f>
        <v>0</v>
      </c>
      <c r="H35" s="114">
        <f>'I3'!F24</f>
        <v>0</v>
      </c>
      <c r="I35" s="115">
        <f>'I3'!G24</f>
        <v>0</v>
      </c>
      <c r="J35" s="114">
        <f>'I3'!H24</f>
        <v>0</v>
      </c>
      <c r="K35" s="115">
        <f>'I3'!I24</f>
        <v>0</v>
      </c>
      <c r="L35" s="114">
        <f>'I3'!J24</f>
        <v>0</v>
      </c>
      <c r="M35" s="115">
        <f>'I3'!K24</f>
        <v>0</v>
      </c>
      <c r="N35" s="114">
        <f>'I3'!L24</f>
        <v>0</v>
      </c>
      <c r="O35" s="115">
        <f>'I3'!M24</f>
        <v>0</v>
      </c>
      <c r="P35" s="201">
        <f>SUMIF('BL-3'!$C$20:$L$20,"*",'IAT-3'!F35:O35)</f>
        <v>0</v>
      </c>
      <c r="Q35" s="202">
        <f t="shared" si="0"/>
        <v>0</v>
      </c>
      <c r="R35" s="199">
        <f>SUMIF('BL-3'!$C$21:$L$21,"*",'IAT-3'!F35:O35)</f>
        <v>0</v>
      </c>
      <c r="S35" s="200">
        <f t="shared" si="1"/>
        <v>0</v>
      </c>
      <c r="T35" s="197">
        <f>SUMIF('BL-3'!$C$22:$L$22,"*",'IAT-3'!F35:O35)</f>
        <v>0</v>
      </c>
      <c r="U35" s="198">
        <f t="shared" si="2"/>
        <v>0</v>
      </c>
      <c r="V35" s="100">
        <f>SUMIF('BL-3'!$C$23:$L$23,"*",'IAT-3'!F35:O35)</f>
        <v>0</v>
      </c>
      <c r="W35" s="96">
        <f t="shared" si="3"/>
        <v>0</v>
      </c>
      <c r="X35" s="203">
        <f>SUMIF('BL-3'!$C$24:$L$24,"*",'IAT-3'!F35:O35)</f>
        <v>0</v>
      </c>
      <c r="Y35" s="97">
        <f t="shared" si="4"/>
        <v>0</v>
      </c>
      <c r="Z35" s="4">
        <f t="shared" si="5"/>
        <v>0</v>
      </c>
      <c r="AA35" s="4">
        <f t="shared" si="6"/>
        <v>0</v>
      </c>
    </row>
    <row r="36" spans="2:27" x14ac:dyDescent="0.25">
      <c r="B36" s="2">
        <v>11</v>
      </c>
      <c r="C36" s="120">
        <f>'IAT-1'!C36</f>
        <v>951323243011</v>
      </c>
      <c r="D36" s="119" t="str">
        <f>'IAT-1'!D36</f>
        <v>BALA SRI RAM G</v>
      </c>
      <c r="E36" s="27"/>
      <c r="F36" s="114">
        <f>'I3'!D25</f>
        <v>0</v>
      </c>
      <c r="G36" s="115">
        <f>'I3'!E25</f>
        <v>0</v>
      </c>
      <c r="H36" s="114">
        <f>'I3'!F25</f>
        <v>0</v>
      </c>
      <c r="I36" s="115">
        <f>'I3'!G25</f>
        <v>0</v>
      </c>
      <c r="J36" s="114">
        <f>'I3'!H25</f>
        <v>0</v>
      </c>
      <c r="K36" s="115">
        <f>'I3'!I25</f>
        <v>0</v>
      </c>
      <c r="L36" s="114">
        <f>'I3'!J25</f>
        <v>0</v>
      </c>
      <c r="M36" s="115">
        <f>'I3'!K25</f>
        <v>0</v>
      </c>
      <c r="N36" s="114">
        <f>'I3'!L25</f>
        <v>0</v>
      </c>
      <c r="O36" s="115">
        <f>'I3'!M25</f>
        <v>0</v>
      </c>
      <c r="P36" s="201">
        <f>SUMIF('BL-3'!$C$20:$L$20,"*",'IAT-3'!F36:O36)</f>
        <v>0</v>
      </c>
      <c r="Q36" s="202">
        <f t="shared" si="0"/>
        <v>0</v>
      </c>
      <c r="R36" s="199">
        <f>SUMIF('BL-3'!$C$21:$L$21,"*",'IAT-3'!F36:O36)</f>
        <v>0</v>
      </c>
      <c r="S36" s="200">
        <f t="shared" si="1"/>
        <v>0</v>
      </c>
      <c r="T36" s="197">
        <f>SUMIF('BL-3'!$C$22:$L$22,"*",'IAT-3'!F36:O36)</f>
        <v>0</v>
      </c>
      <c r="U36" s="198">
        <f t="shared" si="2"/>
        <v>0</v>
      </c>
      <c r="V36" s="100">
        <f>SUMIF('BL-3'!$C$23:$L$23,"*",'IAT-3'!F36:O36)</f>
        <v>0</v>
      </c>
      <c r="W36" s="96">
        <f t="shared" si="3"/>
        <v>0</v>
      </c>
      <c r="X36" s="203">
        <f>SUMIF('BL-3'!$C$24:$L$24,"*",'IAT-3'!F36:O36)</f>
        <v>0</v>
      </c>
      <c r="Y36" s="97">
        <f t="shared" si="4"/>
        <v>0</v>
      </c>
      <c r="Z36" s="4">
        <f t="shared" si="5"/>
        <v>0</v>
      </c>
      <c r="AA36" s="4">
        <f t="shared" si="6"/>
        <v>0</v>
      </c>
    </row>
    <row r="37" spans="2:27" x14ac:dyDescent="0.25">
      <c r="B37" s="2">
        <v>12</v>
      </c>
      <c r="C37" s="120">
        <f>'IAT-1'!C37</f>
        <v>951323243012</v>
      </c>
      <c r="D37" s="119" t="str">
        <f>'IAT-1'!D37</f>
        <v>BENJAMINE FRANKLIN C</v>
      </c>
      <c r="E37" s="27"/>
      <c r="F37" s="114">
        <f>'I3'!D26</f>
        <v>0</v>
      </c>
      <c r="G37" s="115">
        <f>'I3'!E26</f>
        <v>0</v>
      </c>
      <c r="H37" s="114">
        <f>'I3'!F26</f>
        <v>0</v>
      </c>
      <c r="I37" s="115">
        <f>'I3'!G26</f>
        <v>0</v>
      </c>
      <c r="J37" s="114">
        <f>'I3'!H26</f>
        <v>0</v>
      </c>
      <c r="K37" s="115">
        <f>'I3'!I26</f>
        <v>0</v>
      </c>
      <c r="L37" s="114">
        <f>'I3'!J26</f>
        <v>0</v>
      </c>
      <c r="M37" s="115">
        <f>'I3'!K26</f>
        <v>0</v>
      </c>
      <c r="N37" s="114">
        <f>'I3'!L26</f>
        <v>0</v>
      </c>
      <c r="O37" s="115">
        <f>'I3'!M26</f>
        <v>0</v>
      </c>
      <c r="P37" s="201">
        <f>SUMIF('BL-3'!$C$20:$L$20,"*",'IAT-3'!F37:O37)</f>
        <v>0</v>
      </c>
      <c r="Q37" s="202">
        <f t="shared" si="0"/>
        <v>0</v>
      </c>
      <c r="R37" s="199">
        <f>SUMIF('BL-3'!$C$21:$L$21,"*",'IAT-3'!F37:O37)</f>
        <v>0</v>
      </c>
      <c r="S37" s="200">
        <f t="shared" si="1"/>
        <v>0</v>
      </c>
      <c r="T37" s="197">
        <f>SUMIF('BL-3'!$C$22:$L$22,"*",'IAT-3'!F37:O37)</f>
        <v>0</v>
      </c>
      <c r="U37" s="198">
        <f t="shared" si="2"/>
        <v>0</v>
      </c>
      <c r="V37" s="100">
        <f>SUMIF('BL-3'!$C$23:$L$23,"*",'IAT-3'!F37:O37)</f>
        <v>0</v>
      </c>
      <c r="W37" s="96">
        <f t="shared" si="3"/>
        <v>0</v>
      </c>
      <c r="X37" s="203">
        <f>SUMIF('BL-3'!$C$24:$L$24,"*",'IAT-3'!F37:O37)</f>
        <v>0</v>
      </c>
      <c r="Y37" s="97">
        <f t="shared" si="4"/>
        <v>0</v>
      </c>
      <c r="Z37" s="4">
        <f t="shared" si="5"/>
        <v>0</v>
      </c>
      <c r="AA37" s="4">
        <f t="shared" si="6"/>
        <v>0</v>
      </c>
    </row>
    <row r="38" spans="2:27" x14ac:dyDescent="0.25">
      <c r="B38" s="2">
        <v>13</v>
      </c>
      <c r="C38" s="120">
        <f>'IAT-1'!C38</f>
        <v>951323243013</v>
      </c>
      <c r="D38" s="119" t="str">
        <f>'IAT-1'!D38</f>
        <v>CATHRINE R</v>
      </c>
      <c r="E38" s="27"/>
      <c r="F38" s="114">
        <f>'I3'!D27</f>
        <v>0</v>
      </c>
      <c r="G38" s="115">
        <f>'I3'!E27</f>
        <v>0</v>
      </c>
      <c r="H38" s="114">
        <f>'I3'!F27</f>
        <v>0</v>
      </c>
      <c r="I38" s="115">
        <f>'I3'!G27</f>
        <v>0</v>
      </c>
      <c r="J38" s="114">
        <f>'I3'!H27</f>
        <v>0</v>
      </c>
      <c r="K38" s="115">
        <f>'I3'!I27</f>
        <v>0</v>
      </c>
      <c r="L38" s="114">
        <f>'I3'!J27</f>
        <v>0</v>
      </c>
      <c r="M38" s="115">
        <f>'I3'!K27</f>
        <v>0</v>
      </c>
      <c r="N38" s="114">
        <f>'I3'!L27</f>
        <v>0</v>
      </c>
      <c r="O38" s="115">
        <f>'I3'!M27</f>
        <v>0</v>
      </c>
      <c r="P38" s="201">
        <f>SUMIF('BL-3'!$C$20:$L$20,"*",'IAT-3'!F38:O38)</f>
        <v>0</v>
      </c>
      <c r="Q38" s="202">
        <f t="shared" si="0"/>
        <v>0</v>
      </c>
      <c r="R38" s="199">
        <f>SUMIF('BL-3'!$C$21:$L$21,"*",'IAT-3'!F38:O38)</f>
        <v>0</v>
      </c>
      <c r="S38" s="200">
        <f t="shared" si="1"/>
        <v>0</v>
      </c>
      <c r="T38" s="197">
        <f>SUMIF('BL-3'!$C$22:$L$22,"*",'IAT-3'!F38:O38)</f>
        <v>0</v>
      </c>
      <c r="U38" s="198">
        <f t="shared" si="2"/>
        <v>0</v>
      </c>
      <c r="V38" s="100">
        <f>SUMIF('BL-3'!$C$23:$L$23,"*",'IAT-3'!F38:O38)</f>
        <v>0</v>
      </c>
      <c r="W38" s="96">
        <f t="shared" si="3"/>
        <v>0</v>
      </c>
      <c r="X38" s="203">
        <f>SUMIF('BL-3'!$C$24:$L$24,"*",'IAT-3'!F38:O38)</f>
        <v>0</v>
      </c>
      <c r="Y38" s="97">
        <f t="shared" si="4"/>
        <v>0</v>
      </c>
      <c r="Z38" s="4">
        <f t="shared" si="5"/>
        <v>0</v>
      </c>
      <c r="AA38" s="4">
        <f t="shared" si="6"/>
        <v>0</v>
      </c>
    </row>
    <row r="39" spans="2:27" x14ac:dyDescent="0.25">
      <c r="B39" s="2">
        <v>14</v>
      </c>
      <c r="C39" s="120">
        <f>'IAT-1'!C39</f>
        <v>951323243014</v>
      </c>
      <c r="D39" s="119" t="str">
        <f>'IAT-1'!D39</f>
        <v>CHENGALESWARI K</v>
      </c>
      <c r="E39" s="27"/>
      <c r="F39" s="114">
        <f>'I3'!D28</f>
        <v>0</v>
      </c>
      <c r="G39" s="115">
        <f>'I3'!E28</f>
        <v>0</v>
      </c>
      <c r="H39" s="114">
        <f>'I3'!F28</f>
        <v>0</v>
      </c>
      <c r="I39" s="115">
        <f>'I3'!G28</f>
        <v>0</v>
      </c>
      <c r="J39" s="114">
        <f>'I3'!H28</f>
        <v>0</v>
      </c>
      <c r="K39" s="115">
        <f>'I3'!I28</f>
        <v>0</v>
      </c>
      <c r="L39" s="114">
        <f>'I3'!J28</f>
        <v>0</v>
      </c>
      <c r="M39" s="115">
        <f>'I3'!K28</f>
        <v>0</v>
      </c>
      <c r="N39" s="114">
        <f>'I3'!L28</f>
        <v>0</v>
      </c>
      <c r="O39" s="115">
        <f>'I3'!M28</f>
        <v>0</v>
      </c>
      <c r="P39" s="201">
        <f>SUMIF('BL-3'!$C$20:$L$20,"*",'IAT-3'!F39:O39)</f>
        <v>0</v>
      </c>
      <c r="Q39" s="202">
        <f t="shared" si="0"/>
        <v>0</v>
      </c>
      <c r="R39" s="199">
        <f>SUMIF('BL-3'!$C$21:$L$21,"*",'IAT-3'!F39:O39)</f>
        <v>0</v>
      </c>
      <c r="S39" s="200">
        <f t="shared" si="1"/>
        <v>0</v>
      </c>
      <c r="T39" s="197">
        <f>SUMIF('BL-3'!$C$22:$L$22,"*",'IAT-3'!F39:O39)</f>
        <v>0</v>
      </c>
      <c r="U39" s="198">
        <f t="shared" si="2"/>
        <v>0</v>
      </c>
      <c r="V39" s="100">
        <f>SUMIF('BL-3'!$C$23:$L$23,"*",'IAT-3'!F39:O39)</f>
        <v>0</v>
      </c>
      <c r="W39" s="96">
        <f t="shared" si="3"/>
        <v>0</v>
      </c>
      <c r="X39" s="203">
        <f>SUMIF('BL-3'!$C$24:$L$24,"*",'IAT-3'!F39:O39)</f>
        <v>0</v>
      </c>
      <c r="Y39" s="97">
        <f t="shared" si="4"/>
        <v>0</v>
      </c>
      <c r="Z39" s="4">
        <f t="shared" si="5"/>
        <v>0</v>
      </c>
      <c r="AA39" s="4">
        <f t="shared" si="6"/>
        <v>0</v>
      </c>
    </row>
    <row r="40" spans="2:27" x14ac:dyDescent="0.25">
      <c r="B40" s="2">
        <v>15</v>
      </c>
      <c r="C40" s="120">
        <f>'IAT-1'!C40</f>
        <v>951323243015</v>
      </c>
      <c r="D40" s="119" t="str">
        <f>'IAT-1'!D40</f>
        <v>DEVI L</v>
      </c>
      <c r="E40" s="27"/>
      <c r="F40" s="114">
        <f>'I3'!D29</f>
        <v>0</v>
      </c>
      <c r="G40" s="115">
        <f>'I3'!E29</f>
        <v>0</v>
      </c>
      <c r="H40" s="114">
        <f>'I3'!F29</f>
        <v>0</v>
      </c>
      <c r="I40" s="115">
        <f>'I3'!G29</f>
        <v>0</v>
      </c>
      <c r="J40" s="114">
        <f>'I3'!H29</f>
        <v>0</v>
      </c>
      <c r="K40" s="115">
        <f>'I3'!I29</f>
        <v>0</v>
      </c>
      <c r="L40" s="114">
        <f>'I3'!J29</f>
        <v>0</v>
      </c>
      <c r="M40" s="115">
        <f>'I3'!K29</f>
        <v>0</v>
      </c>
      <c r="N40" s="114">
        <f>'I3'!L29</f>
        <v>0</v>
      </c>
      <c r="O40" s="115">
        <f>'I3'!M29</f>
        <v>0</v>
      </c>
      <c r="P40" s="201">
        <f>SUMIF('BL-3'!$C$20:$L$20,"*",'IAT-3'!F40:O40)</f>
        <v>0</v>
      </c>
      <c r="Q40" s="202">
        <f t="shared" si="0"/>
        <v>0</v>
      </c>
      <c r="R40" s="199">
        <f>SUMIF('BL-3'!$C$21:$L$21,"*",'IAT-3'!F40:O40)</f>
        <v>0</v>
      </c>
      <c r="S40" s="200">
        <f t="shared" si="1"/>
        <v>0</v>
      </c>
      <c r="T40" s="197">
        <f>SUMIF('BL-3'!$C$22:$L$22,"*",'IAT-3'!F40:O40)</f>
        <v>0</v>
      </c>
      <c r="U40" s="198">
        <f t="shared" si="2"/>
        <v>0</v>
      </c>
      <c r="V40" s="100">
        <f>SUMIF('BL-3'!$C$23:$L$23,"*",'IAT-3'!F40:O40)</f>
        <v>0</v>
      </c>
      <c r="W40" s="96">
        <f t="shared" si="3"/>
        <v>0</v>
      </c>
      <c r="X40" s="203">
        <f>SUMIF('BL-3'!$C$24:$L$24,"*",'IAT-3'!F40:O40)</f>
        <v>0</v>
      </c>
      <c r="Y40" s="97">
        <f t="shared" si="4"/>
        <v>0</v>
      </c>
      <c r="Z40" s="4">
        <f t="shared" si="5"/>
        <v>0</v>
      </c>
      <c r="AA40" s="4">
        <f t="shared" si="6"/>
        <v>0</v>
      </c>
    </row>
    <row r="41" spans="2:27" x14ac:dyDescent="0.25">
      <c r="B41" s="2">
        <v>16</v>
      </c>
      <c r="C41" s="120">
        <f>'IAT-1'!C41</f>
        <v>951323243016</v>
      </c>
      <c r="D41" s="119" t="str">
        <f>'IAT-1'!D41</f>
        <v>DHARUN S</v>
      </c>
      <c r="E41" s="27"/>
      <c r="F41" s="114">
        <f>'I3'!D30</f>
        <v>0</v>
      </c>
      <c r="G41" s="115">
        <f>'I3'!E30</f>
        <v>0</v>
      </c>
      <c r="H41" s="114">
        <f>'I3'!F30</f>
        <v>0</v>
      </c>
      <c r="I41" s="115">
        <f>'I3'!G30</f>
        <v>0</v>
      </c>
      <c r="J41" s="114">
        <f>'I3'!H30</f>
        <v>0</v>
      </c>
      <c r="K41" s="115">
        <f>'I3'!I30</f>
        <v>0</v>
      </c>
      <c r="L41" s="114">
        <f>'I3'!J30</f>
        <v>0</v>
      </c>
      <c r="M41" s="115">
        <f>'I3'!K30</f>
        <v>0</v>
      </c>
      <c r="N41" s="114">
        <f>'I3'!L30</f>
        <v>0</v>
      </c>
      <c r="O41" s="115">
        <f>'I3'!M30</f>
        <v>0</v>
      </c>
      <c r="P41" s="201">
        <f>SUMIF('BL-3'!$C$20:$L$20,"*",'IAT-3'!F41:O41)</f>
        <v>0</v>
      </c>
      <c r="Q41" s="202">
        <f t="shared" si="0"/>
        <v>0</v>
      </c>
      <c r="R41" s="199">
        <f>SUMIF('BL-3'!$C$21:$L$21,"*",'IAT-3'!F41:O41)</f>
        <v>0</v>
      </c>
      <c r="S41" s="200">
        <f t="shared" si="1"/>
        <v>0</v>
      </c>
      <c r="T41" s="197">
        <f>SUMIF('BL-3'!$C$22:$L$22,"*",'IAT-3'!F41:O41)</f>
        <v>0</v>
      </c>
      <c r="U41" s="198">
        <f t="shared" si="2"/>
        <v>0</v>
      </c>
      <c r="V41" s="100">
        <f>SUMIF('BL-3'!$C$23:$L$23,"*",'IAT-3'!F41:O41)</f>
        <v>0</v>
      </c>
      <c r="W41" s="96">
        <f t="shared" si="3"/>
        <v>0</v>
      </c>
      <c r="X41" s="203">
        <f>SUMIF('BL-3'!$C$24:$L$24,"*",'IAT-3'!F41:O41)</f>
        <v>0</v>
      </c>
      <c r="Y41" s="97">
        <f t="shared" si="4"/>
        <v>0</v>
      </c>
      <c r="Z41" s="4">
        <f t="shared" si="5"/>
        <v>0</v>
      </c>
      <c r="AA41" s="4">
        <f t="shared" si="6"/>
        <v>0</v>
      </c>
    </row>
    <row r="42" spans="2:27" x14ac:dyDescent="0.25">
      <c r="B42" s="2">
        <v>17</v>
      </c>
      <c r="C42" s="120">
        <f>'IAT-1'!C42</f>
        <v>951323243017</v>
      </c>
      <c r="D42" s="119" t="str">
        <f>'IAT-1'!D42</f>
        <v>EAKANTHALINGAM R</v>
      </c>
      <c r="E42" s="27"/>
      <c r="F42" s="114">
        <f>'I3'!D31</f>
        <v>0</v>
      </c>
      <c r="G42" s="115">
        <f>'I3'!E31</f>
        <v>0</v>
      </c>
      <c r="H42" s="114">
        <f>'I3'!F31</f>
        <v>0</v>
      </c>
      <c r="I42" s="115">
        <f>'I3'!G31</f>
        <v>0</v>
      </c>
      <c r="J42" s="114">
        <f>'I3'!H31</f>
        <v>0</v>
      </c>
      <c r="K42" s="115">
        <f>'I3'!I31</f>
        <v>0</v>
      </c>
      <c r="L42" s="114">
        <f>'I3'!J31</f>
        <v>0</v>
      </c>
      <c r="M42" s="115">
        <f>'I3'!K31</f>
        <v>0</v>
      </c>
      <c r="N42" s="114">
        <f>'I3'!L31</f>
        <v>0</v>
      </c>
      <c r="O42" s="115">
        <f>'I3'!M31</f>
        <v>0</v>
      </c>
      <c r="P42" s="201">
        <f>SUMIF('BL-3'!$C$20:$L$20,"*",'IAT-3'!F42:O42)</f>
        <v>0</v>
      </c>
      <c r="Q42" s="202">
        <f t="shared" si="0"/>
        <v>0</v>
      </c>
      <c r="R42" s="199">
        <f>SUMIF('BL-3'!$C$21:$L$21,"*",'IAT-3'!F42:O42)</f>
        <v>0</v>
      </c>
      <c r="S42" s="200">
        <f t="shared" si="1"/>
        <v>0</v>
      </c>
      <c r="T42" s="197">
        <f>SUMIF('BL-3'!$C$22:$L$22,"*",'IAT-3'!F42:O42)</f>
        <v>0</v>
      </c>
      <c r="U42" s="198">
        <f t="shared" si="2"/>
        <v>0</v>
      </c>
      <c r="V42" s="100">
        <f>SUMIF('BL-3'!$C$23:$L$23,"*",'IAT-3'!F42:O42)</f>
        <v>0</v>
      </c>
      <c r="W42" s="96">
        <f t="shared" si="3"/>
        <v>0</v>
      </c>
      <c r="X42" s="203">
        <f>SUMIF('BL-3'!$C$24:$L$24,"*",'IAT-3'!F42:O42)</f>
        <v>0</v>
      </c>
      <c r="Y42" s="97">
        <f t="shared" si="4"/>
        <v>0</v>
      </c>
      <c r="Z42" s="4">
        <f t="shared" si="5"/>
        <v>0</v>
      </c>
      <c r="AA42" s="4">
        <f t="shared" si="6"/>
        <v>0</v>
      </c>
    </row>
    <row r="43" spans="2:27" x14ac:dyDescent="0.25">
      <c r="B43" s="2">
        <v>18</v>
      </c>
      <c r="C43" s="120">
        <f>'IAT-1'!C43</f>
        <v>951323243018</v>
      </c>
      <c r="D43" s="119" t="str">
        <f>'IAT-1'!D43</f>
        <v>EFRIN THANASEKARAN J</v>
      </c>
      <c r="E43" s="27"/>
      <c r="F43" s="114">
        <f>'I3'!D32</f>
        <v>0</v>
      </c>
      <c r="G43" s="115">
        <f>'I3'!E32</f>
        <v>0</v>
      </c>
      <c r="H43" s="114">
        <f>'I3'!F32</f>
        <v>0</v>
      </c>
      <c r="I43" s="115">
        <f>'I3'!G32</f>
        <v>0</v>
      </c>
      <c r="J43" s="114">
        <f>'I3'!H32</f>
        <v>0</v>
      </c>
      <c r="K43" s="115">
        <f>'I3'!I32</f>
        <v>0</v>
      </c>
      <c r="L43" s="114">
        <f>'I3'!J32</f>
        <v>0</v>
      </c>
      <c r="M43" s="115">
        <f>'I3'!K32</f>
        <v>0</v>
      </c>
      <c r="N43" s="114">
        <f>'I3'!L32</f>
        <v>0</v>
      </c>
      <c r="O43" s="115">
        <f>'I3'!M32</f>
        <v>0</v>
      </c>
      <c r="P43" s="201">
        <f>SUMIF('BL-3'!$C$20:$L$20,"*",'IAT-3'!F43:O43)</f>
        <v>0</v>
      </c>
      <c r="Q43" s="202">
        <f t="shared" si="0"/>
        <v>0</v>
      </c>
      <c r="R43" s="199">
        <f>SUMIF('BL-3'!$C$21:$L$21,"*",'IAT-3'!F43:O43)</f>
        <v>0</v>
      </c>
      <c r="S43" s="200">
        <f t="shared" si="1"/>
        <v>0</v>
      </c>
      <c r="T43" s="197">
        <f>SUMIF('BL-3'!$C$22:$L$22,"*",'IAT-3'!F43:O43)</f>
        <v>0</v>
      </c>
      <c r="U43" s="198">
        <f t="shared" si="2"/>
        <v>0</v>
      </c>
      <c r="V43" s="100">
        <f>SUMIF('BL-3'!$C$23:$L$23,"*",'IAT-3'!F43:O43)</f>
        <v>0</v>
      </c>
      <c r="W43" s="96">
        <f t="shared" si="3"/>
        <v>0</v>
      </c>
      <c r="X43" s="203">
        <f>SUMIF('BL-3'!$C$24:$L$24,"*",'IAT-3'!F43:O43)</f>
        <v>0</v>
      </c>
      <c r="Y43" s="97">
        <f t="shared" si="4"/>
        <v>0</v>
      </c>
      <c r="Z43" s="4">
        <f t="shared" si="5"/>
        <v>0</v>
      </c>
      <c r="AA43" s="4">
        <f t="shared" si="6"/>
        <v>0</v>
      </c>
    </row>
    <row r="44" spans="2:27" x14ac:dyDescent="0.25">
      <c r="B44" s="2">
        <v>19</v>
      </c>
      <c r="C44" s="120">
        <f>'IAT-1'!C44</f>
        <v>951323243019</v>
      </c>
      <c r="D44" s="119" t="str">
        <f>'IAT-1'!D44</f>
        <v>GAYATHRI M</v>
      </c>
      <c r="E44" s="27"/>
      <c r="F44" s="114">
        <f>'I3'!D33</f>
        <v>0</v>
      </c>
      <c r="G44" s="115">
        <f>'I3'!E33</f>
        <v>0</v>
      </c>
      <c r="H44" s="114">
        <f>'I3'!F33</f>
        <v>0</v>
      </c>
      <c r="I44" s="115">
        <f>'I3'!G33</f>
        <v>0</v>
      </c>
      <c r="J44" s="114">
        <f>'I3'!H33</f>
        <v>0</v>
      </c>
      <c r="K44" s="115">
        <f>'I3'!I33</f>
        <v>0</v>
      </c>
      <c r="L44" s="114">
        <f>'I3'!J33</f>
        <v>0</v>
      </c>
      <c r="M44" s="115">
        <f>'I3'!K33</f>
        <v>0</v>
      </c>
      <c r="N44" s="114">
        <f>'I3'!L33</f>
        <v>0</v>
      </c>
      <c r="O44" s="115">
        <f>'I3'!M33</f>
        <v>0</v>
      </c>
      <c r="P44" s="201">
        <f>SUMIF('BL-3'!$C$20:$L$20,"*",'IAT-3'!F44:O44)</f>
        <v>0</v>
      </c>
      <c r="Q44" s="202">
        <f t="shared" si="0"/>
        <v>0</v>
      </c>
      <c r="R44" s="199">
        <f>SUMIF('BL-3'!$C$21:$L$21,"*",'IAT-3'!F44:O44)</f>
        <v>0</v>
      </c>
      <c r="S44" s="200">
        <f t="shared" si="1"/>
        <v>0</v>
      </c>
      <c r="T44" s="197">
        <f>SUMIF('BL-3'!$C$22:$L$22,"*",'IAT-3'!F44:O44)</f>
        <v>0</v>
      </c>
      <c r="U44" s="198">
        <f t="shared" si="2"/>
        <v>0</v>
      </c>
      <c r="V44" s="100">
        <f>SUMIF('BL-3'!$C$23:$L$23,"*",'IAT-3'!F44:O44)</f>
        <v>0</v>
      </c>
      <c r="W44" s="96">
        <f t="shared" si="3"/>
        <v>0</v>
      </c>
      <c r="X44" s="203">
        <f>SUMIF('BL-3'!$C$24:$L$24,"*",'IAT-3'!F44:O44)</f>
        <v>0</v>
      </c>
      <c r="Y44" s="97">
        <f t="shared" si="4"/>
        <v>0</v>
      </c>
      <c r="Z44" s="4">
        <f t="shared" si="5"/>
        <v>0</v>
      </c>
      <c r="AA44" s="4">
        <f t="shared" si="6"/>
        <v>0</v>
      </c>
    </row>
    <row r="45" spans="2:27" x14ac:dyDescent="0.25">
      <c r="B45" s="2">
        <v>20</v>
      </c>
      <c r="C45" s="120">
        <f>'IAT-1'!C45</f>
        <v>951323243020</v>
      </c>
      <c r="D45" s="119" t="str">
        <f>'IAT-1'!D45</f>
        <v>GOKILA G</v>
      </c>
      <c r="E45" s="27"/>
      <c r="F45" s="114">
        <f>'I3'!D34</f>
        <v>0</v>
      </c>
      <c r="G45" s="115">
        <f>'I3'!E34</f>
        <v>0</v>
      </c>
      <c r="H45" s="114">
        <f>'I3'!F34</f>
        <v>0</v>
      </c>
      <c r="I45" s="115">
        <f>'I3'!G34</f>
        <v>0</v>
      </c>
      <c r="J45" s="114">
        <f>'I3'!H34</f>
        <v>0</v>
      </c>
      <c r="K45" s="115">
        <f>'I3'!I34</f>
        <v>0</v>
      </c>
      <c r="L45" s="114">
        <f>'I3'!J34</f>
        <v>0</v>
      </c>
      <c r="M45" s="115">
        <f>'I3'!K34</f>
        <v>0</v>
      </c>
      <c r="N45" s="114">
        <f>'I3'!L34</f>
        <v>0</v>
      </c>
      <c r="O45" s="115">
        <f>'I3'!M34</f>
        <v>0</v>
      </c>
      <c r="P45" s="201">
        <f>SUMIF('BL-3'!$C$20:$L$20,"*",'IAT-3'!F45:O45)</f>
        <v>0</v>
      </c>
      <c r="Q45" s="202">
        <f t="shared" si="0"/>
        <v>0</v>
      </c>
      <c r="R45" s="199">
        <f>SUMIF('BL-3'!$C$21:$L$21,"*",'IAT-3'!F45:O45)</f>
        <v>0</v>
      </c>
      <c r="S45" s="200">
        <f t="shared" si="1"/>
        <v>0</v>
      </c>
      <c r="T45" s="197">
        <f>SUMIF('BL-3'!$C$22:$L$22,"*",'IAT-3'!F45:O45)</f>
        <v>0</v>
      </c>
      <c r="U45" s="198">
        <f t="shared" si="2"/>
        <v>0</v>
      </c>
      <c r="V45" s="100">
        <f>SUMIF('BL-3'!$C$23:$L$23,"*",'IAT-3'!F45:O45)</f>
        <v>0</v>
      </c>
      <c r="W45" s="96">
        <f t="shared" si="3"/>
        <v>0</v>
      </c>
      <c r="X45" s="203">
        <f>SUMIF('BL-3'!$C$24:$L$24,"*",'IAT-3'!F45:O45)</f>
        <v>0</v>
      </c>
      <c r="Y45" s="97">
        <f t="shared" si="4"/>
        <v>0</v>
      </c>
      <c r="Z45" s="4">
        <f t="shared" si="5"/>
        <v>0</v>
      </c>
      <c r="AA45" s="4">
        <f t="shared" si="6"/>
        <v>0</v>
      </c>
    </row>
    <row r="46" spans="2:27" x14ac:dyDescent="0.25">
      <c r="B46" s="2">
        <v>21</v>
      </c>
      <c r="C46" s="120">
        <f>'IAT-1'!C46</f>
        <v>951323243021</v>
      </c>
      <c r="D46" s="119" t="str">
        <f>'IAT-1'!D46</f>
        <v>GOWRI KRISHNAVENI N</v>
      </c>
      <c r="E46" s="27"/>
      <c r="F46" s="114">
        <f>'I3'!D35</f>
        <v>0</v>
      </c>
      <c r="G46" s="115">
        <f>'I3'!E35</f>
        <v>0</v>
      </c>
      <c r="H46" s="114">
        <f>'I3'!F35</f>
        <v>0</v>
      </c>
      <c r="I46" s="115">
        <f>'I3'!G35</f>
        <v>0</v>
      </c>
      <c r="J46" s="114">
        <f>'I3'!H35</f>
        <v>0</v>
      </c>
      <c r="K46" s="115">
        <f>'I3'!I35</f>
        <v>0</v>
      </c>
      <c r="L46" s="114">
        <f>'I3'!J35</f>
        <v>0</v>
      </c>
      <c r="M46" s="115">
        <f>'I3'!K35</f>
        <v>0</v>
      </c>
      <c r="N46" s="114">
        <f>'I3'!L35</f>
        <v>0</v>
      </c>
      <c r="O46" s="115">
        <f>'I3'!M35</f>
        <v>0</v>
      </c>
      <c r="P46" s="201">
        <f>SUMIF('BL-3'!$C$20:$L$20,"*",'IAT-3'!F46:O46)</f>
        <v>0</v>
      </c>
      <c r="Q46" s="202">
        <f t="shared" si="0"/>
        <v>0</v>
      </c>
      <c r="R46" s="199">
        <f>SUMIF('BL-3'!$C$21:$L$21,"*",'IAT-3'!F46:O46)</f>
        <v>0</v>
      </c>
      <c r="S46" s="200">
        <f t="shared" si="1"/>
        <v>0</v>
      </c>
      <c r="T46" s="197">
        <f>SUMIF('BL-3'!$C$22:$L$22,"*",'IAT-3'!F46:O46)</f>
        <v>0</v>
      </c>
      <c r="U46" s="198">
        <f t="shared" si="2"/>
        <v>0</v>
      </c>
      <c r="V46" s="100">
        <f>SUMIF('BL-3'!$C$23:$L$23,"*",'IAT-3'!F46:O46)</f>
        <v>0</v>
      </c>
      <c r="W46" s="96">
        <f t="shared" si="3"/>
        <v>0</v>
      </c>
      <c r="X46" s="203">
        <f>SUMIF('BL-3'!$C$24:$L$24,"*",'IAT-3'!F46:O46)</f>
        <v>0</v>
      </c>
      <c r="Y46" s="97">
        <f t="shared" si="4"/>
        <v>0</v>
      </c>
      <c r="Z46" s="4">
        <f t="shared" si="5"/>
        <v>0</v>
      </c>
      <c r="AA46" s="4">
        <f t="shared" si="6"/>
        <v>0</v>
      </c>
    </row>
    <row r="47" spans="2:27" x14ac:dyDescent="0.25">
      <c r="B47" s="2">
        <v>22</v>
      </c>
      <c r="C47" s="120">
        <f>'IAT-1'!C47</f>
        <v>951323243022</v>
      </c>
      <c r="D47" s="119" t="str">
        <f>'IAT-1'!D47</f>
        <v>HEART BRIGHT MERCY S</v>
      </c>
      <c r="E47" s="27" t="s">
        <v>68</v>
      </c>
      <c r="F47" s="114">
        <f>'I3'!D36</f>
        <v>0</v>
      </c>
      <c r="G47" s="115">
        <f>'I3'!E36</f>
        <v>0</v>
      </c>
      <c r="H47" s="114">
        <f>'I3'!F36</f>
        <v>0</v>
      </c>
      <c r="I47" s="115">
        <f>'I3'!G36</f>
        <v>0</v>
      </c>
      <c r="J47" s="114">
        <f>'I3'!H36</f>
        <v>0</v>
      </c>
      <c r="K47" s="115">
        <f>'I3'!I36</f>
        <v>0</v>
      </c>
      <c r="L47" s="114">
        <f>'I3'!J36</f>
        <v>0</v>
      </c>
      <c r="M47" s="115">
        <f>'I3'!K36</f>
        <v>0</v>
      </c>
      <c r="N47" s="114">
        <f>'I3'!L36</f>
        <v>0</v>
      </c>
      <c r="O47" s="115">
        <f>'I3'!M36</f>
        <v>0</v>
      </c>
      <c r="P47" s="201">
        <f>SUMIF('BL-3'!$C$20:$L$20,"*",'IAT-3'!F47:O47)</f>
        <v>0</v>
      </c>
      <c r="Q47" s="202">
        <f t="shared" si="0"/>
        <v>0</v>
      </c>
      <c r="R47" s="199">
        <f>SUMIF('BL-3'!$C$21:$L$21,"*",'IAT-3'!F47:O47)</f>
        <v>0</v>
      </c>
      <c r="S47" s="200">
        <f t="shared" si="1"/>
        <v>0</v>
      </c>
      <c r="T47" s="197">
        <f>SUMIF('BL-3'!$C$22:$L$22,"*",'IAT-3'!F47:O47)</f>
        <v>0</v>
      </c>
      <c r="U47" s="198">
        <f t="shared" si="2"/>
        <v>0</v>
      </c>
      <c r="V47" s="100">
        <f>SUMIF('BL-3'!$C$23:$L$23,"*",'IAT-3'!F47:O47)</f>
        <v>0</v>
      </c>
      <c r="W47" s="96">
        <f t="shared" si="3"/>
        <v>0</v>
      </c>
      <c r="X47" s="203">
        <f>SUMIF('BL-3'!$C$24:$L$24,"*",'IAT-3'!F47:O47)</f>
        <v>0</v>
      </c>
      <c r="Y47" s="97">
        <f t="shared" si="4"/>
        <v>0</v>
      </c>
      <c r="Z47" s="4">
        <f t="shared" si="5"/>
        <v>0</v>
      </c>
      <c r="AA47" s="4">
        <f t="shared" si="6"/>
        <v>0</v>
      </c>
    </row>
    <row r="48" spans="2:27" x14ac:dyDescent="0.25">
      <c r="B48" s="2">
        <v>23</v>
      </c>
      <c r="C48" s="120">
        <f>'IAT-1'!C48</f>
        <v>951323243023</v>
      </c>
      <c r="D48" s="119" t="str">
        <f>'IAT-1'!D48</f>
        <v>INFANT EBINESH R</v>
      </c>
      <c r="E48" s="27"/>
      <c r="F48" s="114">
        <f>'I3'!D37</f>
        <v>0</v>
      </c>
      <c r="G48" s="115">
        <f>'I3'!E37</f>
        <v>0</v>
      </c>
      <c r="H48" s="114">
        <f>'I3'!F37</f>
        <v>0</v>
      </c>
      <c r="I48" s="115">
        <f>'I3'!G37</f>
        <v>0</v>
      </c>
      <c r="J48" s="114">
        <f>'I3'!H37</f>
        <v>0</v>
      </c>
      <c r="K48" s="115">
        <f>'I3'!I37</f>
        <v>0</v>
      </c>
      <c r="L48" s="114">
        <f>'I3'!J37</f>
        <v>0</v>
      </c>
      <c r="M48" s="115">
        <f>'I3'!K37</f>
        <v>0</v>
      </c>
      <c r="N48" s="114">
        <f>'I3'!L37</f>
        <v>0</v>
      </c>
      <c r="O48" s="115">
        <f>'I3'!M37</f>
        <v>0</v>
      </c>
      <c r="P48" s="201">
        <f>SUMIF('BL-3'!$C$20:$L$20,"*",'IAT-3'!F48:O48)</f>
        <v>0</v>
      </c>
      <c r="Q48" s="202">
        <f t="shared" si="0"/>
        <v>0</v>
      </c>
      <c r="R48" s="199">
        <f>SUMIF('BL-3'!$C$21:$L$21,"*",'IAT-3'!F48:O48)</f>
        <v>0</v>
      </c>
      <c r="S48" s="200">
        <f t="shared" si="1"/>
        <v>0</v>
      </c>
      <c r="T48" s="197">
        <f>SUMIF('BL-3'!$C$22:$L$22,"*",'IAT-3'!F48:O48)</f>
        <v>0</v>
      </c>
      <c r="U48" s="198">
        <f t="shared" si="2"/>
        <v>0</v>
      </c>
      <c r="V48" s="100">
        <f>SUMIF('BL-3'!$C$23:$L$23,"*",'IAT-3'!F48:O48)</f>
        <v>0</v>
      </c>
      <c r="W48" s="96">
        <f t="shared" si="3"/>
        <v>0</v>
      </c>
      <c r="X48" s="203">
        <f>SUMIF('BL-3'!$C$24:$L$24,"*",'IAT-3'!F48:O48)</f>
        <v>0</v>
      </c>
      <c r="Y48" s="97">
        <f t="shared" si="4"/>
        <v>0</v>
      </c>
      <c r="Z48" s="4">
        <f t="shared" si="5"/>
        <v>0</v>
      </c>
      <c r="AA48" s="4">
        <f t="shared" si="6"/>
        <v>0</v>
      </c>
    </row>
    <row r="49" spans="2:27" x14ac:dyDescent="0.25">
      <c r="B49" s="2">
        <v>24</v>
      </c>
      <c r="C49" s="120">
        <f>'IAT-1'!C49</f>
        <v>951323243024</v>
      </c>
      <c r="D49" s="119" t="str">
        <f>'IAT-1'!D49</f>
        <v>JAI SURYA N</v>
      </c>
      <c r="E49" s="27"/>
      <c r="F49" s="114">
        <f>'I3'!D38</f>
        <v>0</v>
      </c>
      <c r="G49" s="115">
        <f>'I3'!E38</f>
        <v>0</v>
      </c>
      <c r="H49" s="114">
        <f>'I3'!F38</f>
        <v>0</v>
      </c>
      <c r="I49" s="115">
        <f>'I3'!G38</f>
        <v>0</v>
      </c>
      <c r="J49" s="114">
        <f>'I3'!H38</f>
        <v>0</v>
      </c>
      <c r="K49" s="115">
        <f>'I3'!I38</f>
        <v>0</v>
      </c>
      <c r="L49" s="114">
        <f>'I3'!J38</f>
        <v>0</v>
      </c>
      <c r="M49" s="115">
        <f>'I3'!K38</f>
        <v>0</v>
      </c>
      <c r="N49" s="114">
        <f>'I3'!L38</f>
        <v>0</v>
      </c>
      <c r="O49" s="115">
        <f>'I3'!M38</f>
        <v>0</v>
      </c>
      <c r="P49" s="201">
        <f>SUMIF('BL-3'!$C$20:$L$20,"*",'IAT-3'!F49:O49)</f>
        <v>0</v>
      </c>
      <c r="Q49" s="202">
        <f t="shared" si="0"/>
        <v>0</v>
      </c>
      <c r="R49" s="199">
        <f>SUMIF('BL-3'!$C$21:$L$21,"*",'IAT-3'!F49:O49)</f>
        <v>0</v>
      </c>
      <c r="S49" s="200">
        <f t="shared" si="1"/>
        <v>0</v>
      </c>
      <c r="T49" s="197">
        <f>SUMIF('BL-3'!$C$22:$L$22,"*",'IAT-3'!F49:O49)</f>
        <v>0</v>
      </c>
      <c r="U49" s="198">
        <f t="shared" si="2"/>
        <v>0</v>
      </c>
      <c r="V49" s="100">
        <f>SUMIF('BL-3'!$C$23:$L$23,"*",'IAT-3'!F49:O49)</f>
        <v>0</v>
      </c>
      <c r="W49" s="96">
        <f t="shared" si="3"/>
        <v>0</v>
      </c>
      <c r="X49" s="203">
        <f>SUMIF('BL-3'!$C$24:$L$24,"*",'IAT-3'!F49:O49)</f>
        <v>0</v>
      </c>
      <c r="Y49" s="97">
        <f t="shared" si="4"/>
        <v>0</v>
      </c>
      <c r="Z49" s="4">
        <f t="shared" si="5"/>
        <v>0</v>
      </c>
      <c r="AA49" s="4">
        <f t="shared" si="6"/>
        <v>0</v>
      </c>
    </row>
    <row r="50" spans="2:27" x14ac:dyDescent="0.25">
      <c r="B50" s="2">
        <v>25</v>
      </c>
      <c r="C50" s="120">
        <f>'IAT-1'!C50</f>
        <v>951323243025</v>
      </c>
      <c r="D50" s="119" t="str">
        <f>'IAT-1'!D50</f>
        <v>JANI ALICE THIRSA J</v>
      </c>
      <c r="E50" s="27"/>
      <c r="F50" s="114">
        <f>'I3'!D39</f>
        <v>0</v>
      </c>
      <c r="G50" s="115">
        <f>'I3'!E39</f>
        <v>0</v>
      </c>
      <c r="H50" s="114">
        <f>'I3'!F39</f>
        <v>0</v>
      </c>
      <c r="I50" s="115">
        <f>'I3'!G39</f>
        <v>0</v>
      </c>
      <c r="J50" s="114">
        <f>'I3'!H39</f>
        <v>0</v>
      </c>
      <c r="K50" s="115">
        <f>'I3'!I39</f>
        <v>0</v>
      </c>
      <c r="L50" s="114">
        <f>'I3'!J39</f>
        <v>0</v>
      </c>
      <c r="M50" s="115">
        <f>'I3'!K39</f>
        <v>0</v>
      </c>
      <c r="N50" s="114">
        <f>'I3'!L39</f>
        <v>0</v>
      </c>
      <c r="O50" s="115">
        <f>'I3'!M39</f>
        <v>0</v>
      </c>
      <c r="P50" s="201">
        <f>SUMIF('BL-3'!$C$20:$L$20,"*",'IAT-3'!F50:O50)</f>
        <v>0</v>
      </c>
      <c r="Q50" s="202">
        <f t="shared" si="0"/>
        <v>0</v>
      </c>
      <c r="R50" s="199">
        <f>SUMIF('BL-3'!$C$21:$L$21,"*",'IAT-3'!F50:O50)</f>
        <v>0</v>
      </c>
      <c r="S50" s="200">
        <f t="shared" si="1"/>
        <v>0</v>
      </c>
      <c r="T50" s="197">
        <f>SUMIF('BL-3'!$C$22:$L$22,"*",'IAT-3'!F50:O50)</f>
        <v>0</v>
      </c>
      <c r="U50" s="198">
        <f t="shared" si="2"/>
        <v>0</v>
      </c>
      <c r="V50" s="100">
        <f>SUMIF('BL-3'!$C$23:$L$23,"*",'IAT-3'!F50:O50)</f>
        <v>0</v>
      </c>
      <c r="W50" s="96">
        <f t="shared" si="3"/>
        <v>0</v>
      </c>
      <c r="X50" s="203">
        <f>SUMIF('BL-3'!$C$24:$L$24,"*",'IAT-3'!F50:O50)</f>
        <v>0</v>
      </c>
      <c r="Y50" s="97">
        <f t="shared" si="4"/>
        <v>0</v>
      </c>
      <c r="Z50" s="4">
        <f t="shared" si="5"/>
        <v>0</v>
      </c>
      <c r="AA50" s="4">
        <f t="shared" si="6"/>
        <v>0</v>
      </c>
    </row>
    <row r="51" spans="2:27" x14ac:dyDescent="0.25">
      <c r="B51" s="2">
        <v>26</v>
      </c>
      <c r="C51" s="120">
        <f>'IAT-1'!C51</f>
        <v>951323243026</v>
      </c>
      <c r="D51" s="119" t="str">
        <f>'IAT-1'!D51</f>
        <v>JEBA A</v>
      </c>
      <c r="E51" s="27"/>
      <c r="F51" s="114">
        <f>'I3'!D40</f>
        <v>0</v>
      </c>
      <c r="G51" s="115">
        <f>'I3'!E40</f>
        <v>0</v>
      </c>
      <c r="H51" s="114">
        <f>'I3'!F40</f>
        <v>0</v>
      </c>
      <c r="I51" s="115">
        <f>'I3'!G40</f>
        <v>0</v>
      </c>
      <c r="J51" s="114">
        <f>'I3'!H40</f>
        <v>0</v>
      </c>
      <c r="K51" s="115">
        <f>'I3'!I40</f>
        <v>0</v>
      </c>
      <c r="L51" s="114">
        <f>'I3'!J40</f>
        <v>0</v>
      </c>
      <c r="M51" s="115">
        <f>'I3'!K40</f>
        <v>0</v>
      </c>
      <c r="N51" s="114">
        <f>'I3'!L40</f>
        <v>0</v>
      </c>
      <c r="O51" s="115">
        <f>'I3'!M40</f>
        <v>0</v>
      </c>
      <c r="P51" s="201">
        <f>SUMIF('BL-3'!$C$20:$L$20,"*",'IAT-3'!F51:O51)</f>
        <v>0</v>
      </c>
      <c r="Q51" s="202">
        <f t="shared" si="0"/>
        <v>0</v>
      </c>
      <c r="R51" s="199">
        <f>SUMIF('BL-3'!$C$21:$L$21,"*",'IAT-3'!F51:O51)</f>
        <v>0</v>
      </c>
      <c r="S51" s="200">
        <f t="shared" si="1"/>
        <v>0</v>
      </c>
      <c r="T51" s="197">
        <f>SUMIF('BL-3'!$C$22:$L$22,"*",'IAT-3'!F51:O51)</f>
        <v>0</v>
      </c>
      <c r="U51" s="198">
        <f t="shared" si="2"/>
        <v>0</v>
      </c>
      <c r="V51" s="100">
        <f>SUMIF('BL-3'!$C$23:$L$23,"*",'IAT-3'!F51:O51)</f>
        <v>0</v>
      </c>
      <c r="W51" s="96">
        <f t="shared" si="3"/>
        <v>0</v>
      </c>
      <c r="X51" s="203">
        <f>SUMIF('BL-3'!$C$24:$L$24,"*",'IAT-3'!F51:O51)</f>
        <v>0</v>
      </c>
      <c r="Y51" s="97">
        <f t="shared" si="4"/>
        <v>0</v>
      </c>
      <c r="Z51" s="4">
        <f t="shared" si="5"/>
        <v>0</v>
      </c>
      <c r="AA51" s="4">
        <f t="shared" si="6"/>
        <v>0</v>
      </c>
    </row>
    <row r="52" spans="2:27" x14ac:dyDescent="0.25">
      <c r="B52" s="2">
        <v>27</v>
      </c>
      <c r="C52" s="120">
        <f>'IAT-1'!C52</f>
        <v>951323243027</v>
      </c>
      <c r="D52" s="119" t="str">
        <f>'IAT-1'!D52</f>
        <v>JENIFER E</v>
      </c>
      <c r="E52" s="27"/>
      <c r="F52" s="114">
        <f>'I3'!D41</f>
        <v>0</v>
      </c>
      <c r="G52" s="115">
        <f>'I3'!E41</f>
        <v>0</v>
      </c>
      <c r="H52" s="114">
        <f>'I3'!F41</f>
        <v>0</v>
      </c>
      <c r="I52" s="115">
        <f>'I3'!G41</f>
        <v>0</v>
      </c>
      <c r="J52" s="114">
        <f>'I3'!H41</f>
        <v>0</v>
      </c>
      <c r="K52" s="115">
        <f>'I3'!I41</f>
        <v>0</v>
      </c>
      <c r="L52" s="114">
        <f>'I3'!J41</f>
        <v>0</v>
      </c>
      <c r="M52" s="115">
        <f>'I3'!K41</f>
        <v>0</v>
      </c>
      <c r="N52" s="114">
        <f>'I3'!L41</f>
        <v>0</v>
      </c>
      <c r="O52" s="115">
        <f>'I3'!M41</f>
        <v>0</v>
      </c>
      <c r="P52" s="201">
        <f>SUMIF('BL-3'!$C$20:$L$20,"*",'IAT-3'!F52:O52)</f>
        <v>0</v>
      </c>
      <c r="Q52" s="202">
        <f t="shared" si="0"/>
        <v>0</v>
      </c>
      <c r="R52" s="199">
        <f>SUMIF('BL-3'!$C$21:$L$21,"*",'IAT-3'!F52:O52)</f>
        <v>0</v>
      </c>
      <c r="S52" s="200">
        <f t="shared" si="1"/>
        <v>0</v>
      </c>
      <c r="T52" s="197">
        <f>SUMIF('BL-3'!$C$22:$L$22,"*",'IAT-3'!F52:O52)</f>
        <v>0</v>
      </c>
      <c r="U52" s="198">
        <f t="shared" si="2"/>
        <v>0</v>
      </c>
      <c r="V52" s="100">
        <f>SUMIF('BL-3'!$C$23:$L$23,"*",'IAT-3'!F52:O52)</f>
        <v>0</v>
      </c>
      <c r="W52" s="96">
        <f t="shared" si="3"/>
        <v>0</v>
      </c>
      <c r="X52" s="203">
        <f>SUMIF('BL-3'!$C$24:$L$24,"*",'IAT-3'!F52:O52)</f>
        <v>0</v>
      </c>
      <c r="Y52" s="97">
        <f t="shared" si="4"/>
        <v>0</v>
      </c>
      <c r="Z52" s="4">
        <f t="shared" si="5"/>
        <v>0</v>
      </c>
      <c r="AA52" s="4">
        <f t="shared" si="6"/>
        <v>0</v>
      </c>
    </row>
    <row r="53" spans="2:27" x14ac:dyDescent="0.25">
      <c r="B53" s="2">
        <v>28</v>
      </c>
      <c r="C53" s="120">
        <f>'IAT-1'!C53</f>
        <v>951323243028</v>
      </c>
      <c r="D53" s="119" t="str">
        <f>'IAT-1'!D53</f>
        <v>JENITTA CATHERIN R</v>
      </c>
      <c r="E53" s="5"/>
      <c r="F53" s="114">
        <f>'I3'!D42</f>
        <v>0</v>
      </c>
      <c r="G53" s="115">
        <f>'I3'!E42</f>
        <v>0</v>
      </c>
      <c r="H53" s="114">
        <f>'I3'!F42</f>
        <v>0</v>
      </c>
      <c r="I53" s="115">
        <f>'I3'!G42</f>
        <v>0</v>
      </c>
      <c r="J53" s="114">
        <f>'I3'!H42</f>
        <v>0</v>
      </c>
      <c r="K53" s="115">
        <f>'I3'!I42</f>
        <v>0</v>
      </c>
      <c r="L53" s="114">
        <f>'I3'!J42</f>
        <v>0</v>
      </c>
      <c r="M53" s="115">
        <f>'I3'!K42</f>
        <v>0</v>
      </c>
      <c r="N53" s="114">
        <f>'I3'!L42</f>
        <v>0</v>
      </c>
      <c r="O53" s="115">
        <f>'I3'!M42</f>
        <v>0</v>
      </c>
      <c r="P53" s="201">
        <f>SUMIF('BL-3'!$C$20:$L$20,"*",'IAT-3'!F53:O53)</f>
        <v>0</v>
      </c>
      <c r="Q53" s="202">
        <f t="shared" si="0"/>
        <v>0</v>
      </c>
      <c r="R53" s="199">
        <f>SUMIF('BL-3'!$C$21:$L$21,"*",'IAT-3'!F53:O53)</f>
        <v>0</v>
      </c>
      <c r="S53" s="200">
        <f t="shared" si="1"/>
        <v>0</v>
      </c>
      <c r="T53" s="197">
        <f>SUMIF('BL-3'!$C$22:$L$22,"*",'IAT-3'!F53:O53)</f>
        <v>0</v>
      </c>
      <c r="U53" s="198">
        <f t="shared" si="2"/>
        <v>0</v>
      </c>
      <c r="V53" s="100">
        <f>SUMIF('BL-3'!$C$23:$L$23,"*",'IAT-3'!F53:O53)</f>
        <v>0</v>
      </c>
      <c r="W53" s="96">
        <f t="shared" si="3"/>
        <v>0</v>
      </c>
      <c r="X53" s="203">
        <f>SUMIF('BL-3'!$C$24:$L$24,"*",'IAT-3'!F53:O53)</f>
        <v>0</v>
      </c>
      <c r="Y53" s="97">
        <f t="shared" si="4"/>
        <v>0</v>
      </c>
      <c r="Z53" s="4">
        <f t="shared" si="5"/>
        <v>0</v>
      </c>
      <c r="AA53" s="4">
        <f t="shared" si="6"/>
        <v>0</v>
      </c>
    </row>
    <row r="54" spans="2:27" x14ac:dyDescent="0.25">
      <c r="B54" s="2">
        <v>29</v>
      </c>
      <c r="C54" s="120">
        <f>'IAT-1'!C54</f>
        <v>951323243029</v>
      </c>
      <c r="D54" s="119" t="str">
        <f>'IAT-1'!D54</f>
        <v>JEYACHITHRA K</v>
      </c>
      <c r="E54" s="27"/>
      <c r="F54" s="114">
        <f>'I3'!D43</f>
        <v>0</v>
      </c>
      <c r="G54" s="115">
        <f>'I3'!E43</f>
        <v>0</v>
      </c>
      <c r="H54" s="114">
        <f>'I3'!F43</f>
        <v>0</v>
      </c>
      <c r="I54" s="115">
        <f>'I3'!G43</f>
        <v>0</v>
      </c>
      <c r="J54" s="114">
        <f>'I3'!H43</f>
        <v>0</v>
      </c>
      <c r="K54" s="115">
        <f>'I3'!I43</f>
        <v>0</v>
      </c>
      <c r="L54" s="114">
        <f>'I3'!J43</f>
        <v>0</v>
      </c>
      <c r="M54" s="115">
        <f>'I3'!K43</f>
        <v>0</v>
      </c>
      <c r="N54" s="114">
        <f>'I3'!L43</f>
        <v>0</v>
      </c>
      <c r="O54" s="115">
        <f>'I3'!M43</f>
        <v>0</v>
      </c>
      <c r="P54" s="201">
        <f>SUMIF('BL-3'!$C$20:$L$20,"*",'IAT-3'!F54:O54)</f>
        <v>0</v>
      </c>
      <c r="Q54" s="202">
        <f t="shared" si="0"/>
        <v>0</v>
      </c>
      <c r="R54" s="199">
        <f>SUMIF('BL-3'!$C$21:$L$21,"*",'IAT-3'!F54:O54)</f>
        <v>0</v>
      </c>
      <c r="S54" s="200">
        <f t="shared" si="1"/>
        <v>0</v>
      </c>
      <c r="T54" s="197">
        <f>SUMIF('BL-3'!$C$22:$L$22,"*",'IAT-3'!F54:O54)</f>
        <v>0</v>
      </c>
      <c r="U54" s="198">
        <f t="shared" si="2"/>
        <v>0</v>
      </c>
      <c r="V54" s="100">
        <f>SUMIF('BL-3'!$C$23:$L$23,"*",'IAT-3'!F54:O54)</f>
        <v>0</v>
      </c>
      <c r="W54" s="96">
        <f t="shared" si="3"/>
        <v>0</v>
      </c>
      <c r="X54" s="203">
        <f>SUMIF('BL-3'!$C$24:$L$24,"*",'IAT-3'!F54:O54)</f>
        <v>0</v>
      </c>
      <c r="Y54" s="97">
        <f t="shared" si="4"/>
        <v>0</v>
      </c>
      <c r="Z54" s="4">
        <f t="shared" si="5"/>
        <v>0</v>
      </c>
      <c r="AA54" s="4">
        <f t="shared" si="6"/>
        <v>0</v>
      </c>
    </row>
    <row r="55" spans="2:27" x14ac:dyDescent="0.25">
      <c r="B55" s="2">
        <v>30</v>
      </c>
      <c r="C55" s="120">
        <f>'IAT-1'!C55</f>
        <v>951323243030</v>
      </c>
      <c r="D55" s="119" t="str">
        <f>'IAT-1'!D55</f>
        <v>JOSVA PRINCE R</v>
      </c>
      <c r="E55" s="27"/>
      <c r="F55" s="114">
        <f>'I3'!D44</f>
        <v>0</v>
      </c>
      <c r="G55" s="115">
        <f>'I3'!E44</f>
        <v>0</v>
      </c>
      <c r="H55" s="114">
        <f>'I3'!F44</f>
        <v>0</v>
      </c>
      <c r="I55" s="115">
        <f>'I3'!G44</f>
        <v>0</v>
      </c>
      <c r="J55" s="114">
        <f>'I3'!H44</f>
        <v>0</v>
      </c>
      <c r="K55" s="115">
        <f>'I3'!I44</f>
        <v>0</v>
      </c>
      <c r="L55" s="114">
        <f>'I3'!J44</f>
        <v>0</v>
      </c>
      <c r="M55" s="115">
        <f>'I3'!K44</f>
        <v>0</v>
      </c>
      <c r="N55" s="114">
        <f>'I3'!L44</f>
        <v>0</v>
      </c>
      <c r="O55" s="115">
        <f>'I3'!M44</f>
        <v>0</v>
      </c>
      <c r="P55" s="201">
        <f>SUMIF('BL-3'!$C$20:$L$20,"*",'IAT-3'!F55:O55)</f>
        <v>0</v>
      </c>
      <c r="Q55" s="202">
        <f t="shared" si="0"/>
        <v>0</v>
      </c>
      <c r="R55" s="199">
        <f>SUMIF('BL-3'!$C$21:$L$21,"*",'IAT-3'!F55:O55)</f>
        <v>0</v>
      </c>
      <c r="S55" s="200">
        <f t="shared" si="1"/>
        <v>0</v>
      </c>
      <c r="T55" s="197">
        <f>SUMIF('BL-3'!$C$22:$L$22,"*",'IAT-3'!F55:O55)</f>
        <v>0</v>
      </c>
      <c r="U55" s="198">
        <f t="shared" si="2"/>
        <v>0</v>
      </c>
      <c r="V55" s="100">
        <f>SUMIF('BL-3'!$C$23:$L$23,"*",'IAT-3'!F55:O55)</f>
        <v>0</v>
      </c>
      <c r="W55" s="96">
        <f t="shared" si="3"/>
        <v>0</v>
      </c>
      <c r="X55" s="203">
        <f>SUMIF('BL-3'!$C$24:$L$24,"*",'IAT-3'!F55:O55)</f>
        <v>0</v>
      </c>
      <c r="Y55" s="97">
        <f t="shared" si="4"/>
        <v>0</v>
      </c>
      <c r="Z55" s="4">
        <f t="shared" si="5"/>
        <v>0</v>
      </c>
      <c r="AA55" s="4">
        <f t="shared" si="6"/>
        <v>0</v>
      </c>
    </row>
    <row r="56" spans="2:27" x14ac:dyDescent="0.25">
      <c r="B56" s="2">
        <v>31</v>
      </c>
      <c r="C56" s="120">
        <f>'IAT-1'!C56</f>
        <v>951323243031</v>
      </c>
      <c r="D56" s="119" t="str">
        <f>'IAT-1'!D56</f>
        <v>KALAI SELVAN VINOTH P</v>
      </c>
      <c r="E56" s="27"/>
      <c r="F56" s="114">
        <f>'I3'!D45</f>
        <v>0</v>
      </c>
      <c r="G56" s="115">
        <f>'I3'!E45</f>
        <v>0</v>
      </c>
      <c r="H56" s="114">
        <f>'I3'!F45</f>
        <v>0</v>
      </c>
      <c r="I56" s="115">
        <f>'I3'!G45</f>
        <v>0</v>
      </c>
      <c r="J56" s="114">
        <f>'I3'!H45</f>
        <v>0</v>
      </c>
      <c r="K56" s="115">
        <f>'I3'!I45</f>
        <v>0</v>
      </c>
      <c r="L56" s="114">
        <f>'I3'!J45</f>
        <v>0</v>
      </c>
      <c r="M56" s="115">
        <f>'I3'!K45</f>
        <v>0</v>
      </c>
      <c r="N56" s="114">
        <f>'I3'!L45</f>
        <v>0</v>
      </c>
      <c r="O56" s="115">
        <f>'I3'!M45</f>
        <v>0</v>
      </c>
      <c r="P56" s="201">
        <f>SUMIF('BL-3'!$C$20:$L$20,"*",'IAT-3'!F56:O56)</f>
        <v>0</v>
      </c>
      <c r="Q56" s="202">
        <f t="shared" si="0"/>
        <v>0</v>
      </c>
      <c r="R56" s="199">
        <f>SUMIF('BL-3'!$C$21:$L$21,"*",'IAT-3'!F56:O56)</f>
        <v>0</v>
      </c>
      <c r="S56" s="200">
        <f t="shared" si="1"/>
        <v>0</v>
      </c>
      <c r="T56" s="197">
        <f>SUMIF('BL-3'!$C$22:$L$22,"*",'IAT-3'!F56:O56)</f>
        <v>0</v>
      </c>
      <c r="U56" s="198">
        <f t="shared" si="2"/>
        <v>0</v>
      </c>
      <c r="V56" s="100">
        <f>SUMIF('BL-3'!$C$23:$L$23,"*",'IAT-3'!F56:O56)</f>
        <v>0</v>
      </c>
      <c r="W56" s="96">
        <f t="shared" si="3"/>
        <v>0</v>
      </c>
      <c r="X56" s="203">
        <f>SUMIF('BL-3'!$C$24:$L$24,"*",'IAT-3'!F56:O56)</f>
        <v>0</v>
      </c>
      <c r="Y56" s="97">
        <f t="shared" si="4"/>
        <v>0</v>
      </c>
      <c r="Z56" s="4">
        <f t="shared" si="5"/>
        <v>0</v>
      </c>
      <c r="AA56" s="4">
        <f t="shared" si="6"/>
        <v>0</v>
      </c>
    </row>
    <row r="57" spans="2:27" x14ac:dyDescent="0.25">
      <c r="B57" s="2">
        <v>32</v>
      </c>
      <c r="C57" s="120">
        <f>'IAT-1'!C57</f>
        <v>951323243032</v>
      </c>
      <c r="D57" s="119" t="str">
        <f>'IAT-1'!D57</f>
        <v>LAKSHMANAN SARATHI S</v>
      </c>
      <c r="E57" s="27"/>
      <c r="F57" s="114">
        <f>'I3'!D46</f>
        <v>0</v>
      </c>
      <c r="G57" s="115">
        <f>'I3'!E46</f>
        <v>0</v>
      </c>
      <c r="H57" s="114">
        <f>'I3'!F46</f>
        <v>0</v>
      </c>
      <c r="I57" s="115">
        <f>'I3'!G46</f>
        <v>0</v>
      </c>
      <c r="J57" s="114">
        <f>'I3'!H46</f>
        <v>0</v>
      </c>
      <c r="K57" s="115">
        <f>'I3'!I46</f>
        <v>0</v>
      </c>
      <c r="L57" s="114">
        <f>'I3'!J46</f>
        <v>0</v>
      </c>
      <c r="M57" s="115">
        <f>'I3'!K46</f>
        <v>0</v>
      </c>
      <c r="N57" s="114">
        <f>'I3'!L46</f>
        <v>0</v>
      </c>
      <c r="O57" s="115">
        <f>'I3'!M46</f>
        <v>0</v>
      </c>
      <c r="P57" s="201">
        <f>SUMIF('BL-3'!$C$20:$L$20,"*",'IAT-3'!F57:O57)</f>
        <v>0</v>
      </c>
      <c r="Q57" s="202">
        <f t="shared" si="0"/>
        <v>0</v>
      </c>
      <c r="R57" s="199">
        <f>SUMIF('BL-3'!$C$21:$L$21,"*",'IAT-3'!F57:O57)</f>
        <v>0</v>
      </c>
      <c r="S57" s="200">
        <f t="shared" si="1"/>
        <v>0</v>
      </c>
      <c r="T57" s="197">
        <f>SUMIF('BL-3'!$C$22:$L$22,"*",'IAT-3'!F57:O57)</f>
        <v>0</v>
      </c>
      <c r="U57" s="198">
        <f t="shared" si="2"/>
        <v>0</v>
      </c>
      <c r="V57" s="100">
        <f>SUMIF('BL-3'!$C$23:$L$23,"*",'IAT-3'!F57:O57)</f>
        <v>0</v>
      </c>
      <c r="W57" s="96">
        <f t="shared" si="3"/>
        <v>0</v>
      </c>
      <c r="X57" s="203">
        <f>SUMIF('BL-3'!$C$24:$L$24,"*",'IAT-3'!F57:O57)</f>
        <v>0</v>
      </c>
      <c r="Y57" s="97">
        <f t="shared" si="4"/>
        <v>0</v>
      </c>
      <c r="Z57" s="4">
        <f t="shared" si="5"/>
        <v>0</v>
      </c>
      <c r="AA57" s="4">
        <f t="shared" si="6"/>
        <v>0</v>
      </c>
    </row>
    <row r="58" spans="2:27" x14ac:dyDescent="0.25">
      <c r="B58" s="2">
        <v>33</v>
      </c>
      <c r="C58" s="120">
        <f>'IAT-1'!C58</f>
        <v>951323243033</v>
      </c>
      <c r="D58" s="119" t="str">
        <f>'IAT-1'!D58</f>
        <v>LIJO DURAISINGH V S</v>
      </c>
      <c r="E58" s="27"/>
      <c r="F58" s="114">
        <f>'I3'!D47</f>
        <v>0</v>
      </c>
      <c r="G58" s="115">
        <f>'I3'!E47</f>
        <v>0</v>
      </c>
      <c r="H58" s="114">
        <f>'I3'!F47</f>
        <v>0</v>
      </c>
      <c r="I58" s="115">
        <f>'I3'!G47</f>
        <v>0</v>
      </c>
      <c r="J58" s="114">
        <f>'I3'!H47</f>
        <v>0</v>
      </c>
      <c r="K58" s="115">
        <f>'I3'!I47</f>
        <v>0</v>
      </c>
      <c r="L58" s="114">
        <f>'I3'!J47</f>
        <v>0</v>
      </c>
      <c r="M58" s="115">
        <f>'I3'!K47</f>
        <v>0</v>
      </c>
      <c r="N58" s="114">
        <f>'I3'!L47</f>
        <v>0</v>
      </c>
      <c r="O58" s="115">
        <f>'I3'!M47</f>
        <v>0</v>
      </c>
      <c r="P58" s="201">
        <f>SUMIF('BL-3'!$C$20:$L$20,"*",'IAT-3'!F58:O58)</f>
        <v>0</v>
      </c>
      <c r="Q58" s="202">
        <f t="shared" si="0"/>
        <v>0</v>
      </c>
      <c r="R58" s="199">
        <f>SUMIF('BL-3'!$C$21:$L$21,"*",'IAT-3'!F58:O58)</f>
        <v>0</v>
      </c>
      <c r="S58" s="200">
        <f t="shared" si="1"/>
        <v>0</v>
      </c>
      <c r="T58" s="197">
        <f>SUMIF('BL-3'!$C$22:$L$22,"*",'IAT-3'!F58:O58)</f>
        <v>0</v>
      </c>
      <c r="U58" s="198">
        <f t="shared" si="2"/>
        <v>0</v>
      </c>
      <c r="V58" s="100">
        <f>SUMIF('BL-3'!$C$23:$L$23,"*",'IAT-3'!F58:O58)</f>
        <v>0</v>
      </c>
      <c r="W58" s="96">
        <f t="shared" si="3"/>
        <v>0</v>
      </c>
      <c r="X58" s="203">
        <f>SUMIF('BL-3'!$C$24:$L$24,"*",'IAT-3'!F58:O58)</f>
        <v>0</v>
      </c>
      <c r="Y58" s="97">
        <f t="shared" si="4"/>
        <v>0</v>
      </c>
      <c r="Z58" s="4">
        <f t="shared" si="5"/>
        <v>0</v>
      </c>
      <c r="AA58" s="4">
        <f t="shared" si="6"/>
        <v>0</v>
      </c>
    </row>
    <row r="59" spans="2:27" x14ac:dyDescent="0.25">
      <c r="B59" s="2">
        <v>34</v>
      </c>
      <c r="C59" s="120">
        <f>'IAT-1'!C59</f>
        <v>951323243034</v>
      </c>
      <c r="D59" s="119" t="str">
        <f>'IAT-1'!D59</f>
        <v>LOVISAL JOY K</v>
      </c>
      <c r="E59" s="27"/>
      <c r="F59" s="114">
        <f>'I3'!D48</f>
        <v>0</v>
      </c>
      <c r="G59" s="115">
        <f>'I3'!E48</f>
        <v>0</v>
      </c>
      <c r="H59" s="114">
        <f>'I3'!F48</f>
        <v>0</v>
      </c>
      <c r="I59" s="115">
        <f>'I3'!G48</f>
        <v>0</v>
      </c>
      <c r="J59" s="114">
        <f>'I3'!H48</f>
        <v>0</v>
      </c>
      <c r="K59" s="115">
        <f>'I3'!I48</f>
        <v>0</v>
      </c>
      <c r="L59" s="114">
        <f>'I3'!J48</f>
        <v>0</v>
      </c>
      <c r="M59" s="115">
        <f>'I3'!K48</f>
        <v>0</v>
      </c>
      <c r="N59" s="114">
        <f>'I3'!L48</f>
        <v>0</v>
      </c>
      <c r="O59" s="115">
        <f>'I3'!M48</f>
        <v>0</v>
      </c>
      <c r="P59" s="201">
        <f>SUMIF('BL-3'!$C$20:$L$20,"*",'IAT-3'!F59:O59)</f>
        <v>0</v>
      </c>
      <c r="Q59" s="202">
        <f t="shared" si="0"/>
        <v>0</v>
      </c>
      <c r="R59" s="199">
        <f>SUMIF('BL-3'!$C$21:$L$21,"*",'IAT-3'!F59:O59)</f>
        <v>0</v>
      </c>
      <c r="S59" s="200">
        <f t="shared" si="1"/>
        <v>0</v>
      </c>
      <c r="T59" s="197">
        <f>SUMIF('BL-3'!$C$22:$L$22,"*",'IAT-3'!F59:O59)</f>
        <v>0</v>
      </c>
      <c r="U59" s="198">
        <f t="shared" si="2"/>
        <v>0</v>
      </c>
      <c r="V59" s="100">
        <f>SUMIF('BL-3'!$C$23:$L$23,"*",'IAT-3'!F59:O59)</f>
        <v>0</v>
      </c>
      <c r="W59" s="96">
        <f t="shared" si="3"/>
        <v>0</v>
      </c>
      <c r="X59" s="203">
        <f>SUMIF('BL-3'!$C$24:$L$24,"*",'IAT-3'!F59:O59)</f>
        <v>0</v>
      </c>
      <c r="Y59" s="97">
        <f t="shared" si="4"/>
        <v>0</v>
      </c>
      <c r="Z59" s="4">
        <f t="shared" si="5"/>
        <v>0</v>
      </c>
      <c r="AA59" s="4">
        <f t="shared" si="6"/>
        <v>0</v>
      </c>
    </row>
    <row r="60" spans="2:27" x14ac:dyDescent="0.25">
      <c r="B60" s="2">
        <v>35</v>
      </c>
      <c r="C60" s="120">
        <f>'IAT-1'!C60</f>
        <v>951323243035</v>
      </c>
      <c r="D60" s="119" t="str">
        <f>'IAT-1'!D60</f>
        <v>MAGESH GOWRI S</v>
      </c>
      <c r="E60" s="27"/>
      <c r="F60" s="114">
        <f>'I3'!D49</f>
        <v>0</v>
      </c>
      <c r="G60" s="115">
        <f>'I3'!E49</f>
        <v>0</v>
      </c>
      <c r="H60" s="114">
        <f>'I3'!F49</f>
        <v>0</v>
      </c>
      <c r="I60" s="115">
        <f>'I3'!G49</f>
        <v>0</v>
      </c>
      <c r="J60" s="114">
        <f>'I3'!H49</f>
        <v>0</v>
      </c>
      <c r="K60" s="115">
        <f>'I3'!I49</f>
        <v>0</v>
      </c>
      <c r="L60" s="114">
        <f>'I3'!J49</f>
        <v>0</v>
      </c>
      <c r="M60" s="115">
        <f>'I3'!K49</f>
        <v>0</v>
      </c>
      <c r="N60" s="114">
        <f>'I3'!L49</f>
        <v>0</v>
      </c>
      <c r="O60" s="115">
        <f>'I3'!M49</f>
        <v>0</v>
      </c>
      <c r="P60" s="201">
        <f>SUMIF('BL-3'!$C$20:$L$20,"*",'IAT-3'!F60:O60)</f>
        <v>0</v>
      </c>
      <c r="Q60" s="202">
        <f t="shared" si="0"/>
        <v>0</v>
      </c>
      <c r="R60" s="199">
        <f>SUMIF('BL-3'!$C$21:$L$21,"*",'IAT-3'!F60:O60)</f>
        <v>0</v>
      </c>
      <c r="S60" s="200">
        <f t="shared" si="1"/>
        <v>0</v>
      </c>
      <c r="T60" s="197">
        <f>SUMIF('BL-3'!$C$22:$L$22,"*",'IAT-3'!F60:O60)</f>
        <v>0</v>
      </c>
      <c r="U60" s="198">
        <f t="shared" si="2"/>
        <v>0</v>
      </c>
      <c r="V60" s="100">
        <f>SUMIF('BL-3'!$C$23:$L$23,"*",'IAT-3'!F60:O60)</f>
        <v>0</v>
      </c>
      <c r="W60" s="96">
        <f t="shared" si="3"/>
        <v>0</v>
      </c>
      <c r="X60" s="203">
        <f>SUMIF('BL-3'!$C$24:$L$24,"*",'IAT-3'!F60:O60)</f>
        <v>0</v>
      </c>
      <c r="Y60" s="97">
        <f t="shared" si="4"/>
        <v>0</v>
      </c>
      <c r="Z60" s="4">
        <f t="shared" si="5"/>
        <v>0</v>
      </c>
      <c r="AA60" s="4">
        <f t="shared" si="6"/>
        <v>0</v>
      </c>
    </row>
    <row r="61" spans="2:27" x14ac:dyDescent="0.25">
      <c r="B61" s="2">
        <v>36</v>
      </c>
      <c r="C61" s="120">
        <f>'IAT-1'!C61</f>
        <v>951323243036</v>
      </c>
      <c r="D61" s="119" t="str">
        <f>'IAT-1'!D61</f>
        <v>MARIMUTHU S</v>
      </c>
      <c r="E61" s="27"/>
      <c r="F61" s="114">
        <f>'I3'!D50</f>
        <v>0</v>
      </c>
      <c r="G61" s="115">
        <f>'I3'!E50</f>
        <v>0</v>
      </c>
      <c r="H61" s="114">
        <f>'I3'!F50</f>
        <v>0</v>
      </c>
      <c r="I61" s="115">
        <f>'I3'!G50</f>
        <v>0</v>
      </c>
      <c r="J61" s="114">
        <f>'I3'!H50</f>
        <v>0</v>
      </c>
      <c r="K61" s="115">
        <f>'I3'!I50</f>
        <v>0</v>
      </c>
      <c r="L61" s="114">
        <f>'I3'!J50</f>
        <v>0</v>
      </c>
      <c r="M61" s="115">
        <f>'I3'!K50</f>
        <v>0</v>
      </c>
      <c r="N61" s="114">
        <f>'I3'!L50</f>
        <v>0</v>
      </c>
      <c r="O61" s="115">
        <f>'I3'!M50</f>
        <v>0</v>
      </c>
      <c r="P61" s="201">
        <f>SUMIF('BL-3'!$C$20:$L$20,"*",'IAT-3'!F61:O61)</f>
        <v>0</v>
      </c>
      <c r="Q61" s="202">
        <f t="shared" si="0"/>
        <v>0</v>
      </c>
      <c r="R61" s="199">
        <f>SUMIF('BL-3'!$C$21:$L$21,"*",'IAT-3'!F61:O61)</f>
        <v>0</v>
      </c>
      <c r="S61" s="200">
        <f t="shared" si="1"/>
        <v>0</v>
      </c>
      <c r="T61" s="197">
        <f>SUMIF('BL-3'!$C$22:$L$22,"*",'IAT-3'!F61:O61)</f>
        <v>0</v>
      </c>
      <c r="U61" s="198">
        <f t="shared" si="2"/>
        <v>0</v>
      </c>
      <c r="V61" s="100">
        <f>SUMIF('BL-3'!$C$23:$L$23,"*",'IAT-3'!F61:O61)</f>
        <v>0</v>
      </c>
      <c r="W61" s="96">
        <f t="shared" si="3"/>
        <v>0</v>
      </c>
      <c r="X61" s="203">
        <f>SUMIF('BL-3'!$C$24:$L$24,"*",'IAT-3'!F61:O61)</f>
        <v>0</v>
      </c>
      <c r="Y61" s="97">
        <f t="shared" si="4"/>
        <v>0</v>
      </c>
      <c r="Z61" s="4">
        <f t="shared" si="5"/>
        <v>0</v>
      </c>
      <c r="AA61" s="4">
        <f t="shared" si="6"/>
        <v>0</v>
      </c>
    </row>
    <row r="62" spans="2:27" x14ac:dyDescent="0.25">
      <c r="B62" s="2">
        <v>37</v>
      </c>
      <c r="C62" s="120">
        <f>'IAT-1'!C62</f>
        <v>951323243037</v>
      </c>
      <c r="D62" s="119" t="str">
        <f>'IAT-1'!D62</f>
        <v>MARIYA FATHIMA JEYARANI R</v>
      </c>
      <c r="E62" s="27"/>
      <c r="F62" s="114">
        <f>'I3'!D51</f>
        <v>0</v>
      </c>
      <c r="G62" s="115">
        <f>'I3'!E51</f>
        <v>0</v>
      </c>
      <c r="H62" s="114">
        <f>'I3'!F51</f>
        <v>0</v>
      </c>
      <c r="I62" s="115">
        <f>'I3'!G51</f>
        <v>0</v>
      </c>
      <c r="J62" s="114">
        <f>'I3'!H51</f>
        <v>0</v>
      </c>
      <c r="K62" s="115">
        <f>'I3'!I51</f>
        <v>0</v>
      </c>
      <c r="L62" s="114">
        <f>'I3'!J51</f>
        <v>0</v>
      </c>
      <c r="M62" s="115">
        <f>'I3'!K51</f>
        <v>0</v>
      </c>
      <c r="N62" s="114">
        <f>'I3'!L51</f>
        <v>0</v>
      </c>
      <c r="O62" s="115">
        <f>'I3'!M51</f>
        <v>0</v>
      </c>
      <c r="P62" s="201">
        <f>SUMIF('BL-3'!$C$20:$L$20,"*",'IAT-3'!F62:O62)</f>
        <v>0</v>
      </c>
      <c r="Q62" s="202">
        <f t="shared" si="0"/>
        <v>0</v>
      </c>
      <c r="R62" s="199">
        <f>SUMIF('BL-3'!$C$21:$L$21,"*",'IAT-3'!F62:O62)</f>
        <v>0</v>
      </c>
      <c r="S62" s="200">
        <f t="shared" si="1"/>
        <v>0</v>
      </c>
      <c r="T62" s="197">
        <f>SUMIF('BL-3'!$C$22:$L$22,"*",'IAT-3'!F62:O62)</f>
        <v>0</v>
      </c>
      <c r="U62" s="198">
        <f t="shared" si="2"/>
        <v>0</v>
      </c>
      <c r="V62" s="100">
        <f>SUMIF('BL-3'!$C$23:$L$23,"*",'IAT-3'!F62:O62)</f>
        <v>0</v>
      </c>
      <c r="W62" s="96">
        <f t="shared" si="3"/>
        <v>0</v>
      </c>
      <c r="X62" s="203">
        <f>SUMIF('BL-3'!$C$24:$L$24,"*",'IAT-3'!F62:O62)</f>
        <v>0</v>
      </c>
      <c r="Y62" s="97">
        <f t="shared" si="4"/>
        <v>0</v>
      </c>
      <c r="Z62" s="4">
        <f t="shared" si="5"/>
        <v>0</v>
      </c>
      <c r="AA62" s="4">
        <f t="shared" si="6"/>
        <v>0</v>
      </c>
    </row>
    <row r="63" spans="2:27" x14ac:dyDescent="0.25">
      <c r="B63" s="2">
        <v>38</v>
      </c>
      <c r="C63" s="120">
        <f>'IAT-1'!C63</f>
        <v>951323243038</v>
      </c>
      <c r="D63" s="119" t="str">
        <f>'IAT-1'!D63</f>
        <v>MARTIN PRISCA D</v>
      </c>
      <c r="E63" s="27"/>
      <c r="F63" s="114">
        <f>'I3'!D52</f>
        <v>0</v>
      </c>
      <c r="G63" s="115">
        <f>'I3'!E52</f>
        <v>0</v>
      </c>
      <c r="H63" s="114">
        <f>'I3'!F52</f>
        <v>0</v>
      </c>
      <c r="I63" s="115">
        <f>'I3'!G52</f>
        <v>0</v>
      </c>
      <c r="J63" s="114">
        <f>'I3'!H52</f>
        <v>0</v>
      </c>
      <c r="K63" s="115">
        <f>'I3'!I52</f>
        <v>0</v>
      </c>
      <c r="L63" s="114">
        <f>'I3'!J52</f>
        <v>0</v>
      </c>
      <c r="M63" s="115">
        <f>'I3'!K52</f>
        <v>0</v>
      </c>
      <c r="N63" s="114">
        <f>'I3'!L52</f>
        <v>0</v>
      </c>
      <c r="O63" s="115">
        <f>'I3'!M52</f>
        <v>0</v>
      </c>
      <c r="P63" s="201">
        <f>SUMIF('BL-3'!$C$20:$L$20,"*",'IAT-3'!F63:O63)</f>
        <v>0</v>
      </c>
      <c r="Q63" s="202">
        <f t="shared" si="0"/>
        <v>0</v>
      </c>
      <c r="R63" s="199">
        <f>SUMIF('BL-3'!$C$21:$L$21,"*",'IAT-3'!F63:O63)</f>
        <v>0</v>
      </c>
      <c r="S63" s="200">
        <f t="shared" si="1"/>
        <v>0</v>
      </c>
      <c r="T63" s="197">
        <f>SUMIF('BL-3'!$C$22:$L$22,"*",'IAT-3'!F63:O63)</f>
        <v>0</v>
      </c>
      <c r="U63" s="198">
        <f t="shared" si="2"/>
        <v>0</v>
      </c>
      <c r="V63" s="100">
        <f>SUMIF('BL-3'!$C$23:$L$23,"*",'IAT-3'!F63:O63)</f>
        <v>0</v>
      </c>
      <c r="W63" s="96">
        <f t="shared" si="3"/>
        <v>0</v>
      </c>
      <c r="X63" s="203">
        <f>SUMIF('BL-3'!$C$24:$L$24,"*",'IAT-3'!F63:O63)</f>
        <v>0</v>
      </c>
      <c r="Y63" s="97">
        <f t="shared" si="4"/>
        <v>0</v>
      </c>
      <c r="Z63" s="4">
        <f t="shared" si="5"/>
        <v>0</v>
      </c>
      <c r="AA63" s="4">
        <f t="shared" si="6"/>
        <v>0</v>
      </c>
    </row>
    <row r="64" spans="2:27" x14ac:dyDescent="0.25">
      <c r="B64" s="2">
        <v>39</v>
      </c>
      <c r="C64" s="120">
        <f>'IAT-1'!C64</f>
        <v>951323243039</v>
      </c>
      <c r="D64" s="119" t="str">
        <f>'IAT-1'!D64</f>
        <v>MERLIN HEPSIBA K</v>
      </c>
      <c r="E64" s="27"/>
      <c r="F64" s="114">
        <f>'I3'!D53</f>
        <v>0</v>
      </c>
      <c r="G64" s="115">
        <f>'I3'!E53</f>
        <v>0</v>
      </c>
      <c r="H64" s="114">
        <f>'I3'!F53</f>
        <v>0</v>
      </c>
      <c r="I64" s="115">
        <f>'I3'!G53</f>
        <v>0</v>
      </c>
      <c r="J64" s="114">
        <f>'I3'!H53</f>
        <v>0</v>
      </c>
      <c r="K64" s="115">
        <f>'I3'!I53</f>
        <v>0</v>
      </c>
      <c r="L64" s="114">
        <f>'I3'!J53</f>
        <v>0</v>
      </c>
      <c r="M64" s="115">
        <f>'I3'!K53</f>
        <v>0</v>
      </c>
      <c r="N64" s="114">
        <f>'I3'!L53</f>
        <v>0</v>
      </c>
      <c r="O64" s="115">
        <f>'I3'!M53</f>
        <v>0</v>
      </c>
      <c r="P64" s="201">
        <f>SUMIF('BL-3'!$C$20:$L$20,"*",'IAT-3'!F64:O64)</f>
        <v>0</v>
      </c>
      <c r="Q64" s="202">
        <f t="shared" si="0"/>
        <v>0</v>
      </c>
      <c r="R64" s="199">
        <f>SUMIF('BL-3'!$C$21:$L$21,"*",'IAT-3'!F64:O64)</f>
        <v>0</v>
      </c>
      <c r="S64" s="200">
        <f t="shared" si="1"/>
        <v>0</v>
      </c>
      <c r="T64" s="197">
        <f>SUMIF('BL-3'!$C$22:$L$22,"*",'IAT-3'!F64:O64)</f>
        <v>0</v>
      </c>
      <c r="U64" s="198">
        <f t="shared" si="2"/>
        <v>0</v>
      </c>
      <c r="V64" s="100">
        <f>SUMIF('BL-3'!$C$23:$L$23,"*",'IAT-3'!F64:O64)</f>
        <v>0</v>
      </c>
      <c r="W64" s="96">
        <f t="shared" si="3"/>
        <v>0</v>
      </c>
      <c r="X64" s="203">
        <f>SUMIF('BL-3'!$C$24:$L$24,"*",'IAT-3'!F64:O64)</f>
        <v>0</v>
      </c>
      <c r="Y64" s="97">
        <f t="shared" si="4"/>
        <v>0</v>
      </c>
      <c r="Z64" s="4">
        <f t="shared" si="5"/>
        <v>0</v>
      </c>
      <c r="AA64" s="4">
        <f t="shared" si="6"/>
        <v>0</v>
      </c>
    </row>
    <row r="65" spans="2:27" x14ac:dyDescent="0.25">
      <c r="B65" s="2">
        <v>40</v>
      </c>
      <c r="C65" s="120" t="e">
        <f>'IAT-1'!#REF!</f>
        <v>#REF!</v>
      </c>
      <c r="D65" s="119" t="e">
        <f>'IAT-1'!#REF!</f>
        <v>#REF!</v>
      </c>
      <c r="E65" s="27"/>
      <c r="F65" s="114">
        <f>'I3'!D54</f>
        <v>0</v>
      </c>
      <c r="G65" s="115">
        <f>'I3'!E54</f>
        <v>0</v>
      </c>
      <c r="H65" s="114">
        <f>'I3'!F54</f>
        <v>0</v>
      </c>
      <c r="I65" s="115">
        <f>'I3'!G54</f>
        <v>0</v>
      </c>
      <c r="J65" s="114">
        <f>'I3'!H54</f>
        <v>0</v>
      </c>
      <c r="K65" s="115">
        <f>'I3'!I54</f>
        <v>0</v>
      </c>
      <c r="L65" s="114">
        <f>'I3'!J54</f>
        <v>0</v>
      </c>
      <c r="M65" s="115">
        <f>'I3'!K54</f>
        <v>0</v>
      </c>
      <c r="N65" s="114">
        <f>'I3'!L54</f>
        <v>0</v>
      </c>
      <c r="O65" s="115">
        <f>'I3'!M54</f>
        <v>0</v>
      </c>
      <c r="P65" s="201">
        <f>SUMIF('BL-3'!$C$20:$L$20,"*",'IAT-3'!F65:O65)</f>
        <v>0</v>
      </c>
      <c r="Q65" s="202">
        <f t="shared" si="0"/>
        <v>0</v>
      </c>
      <c r="R65" s="199">
        <f>SUMIF('BL-3'!$C$21:$L$21,"*",'IAT-3'!F65:O65)</f>
        <v>0</v>
      </c>
      <c r="S65" s="200">
        <f t="shared" si="1"/>
        <v>0</v>
      </c>
      <c r="T65" s="197">
        <f>SUMIF('BL-3'!$C$22:$L$22,"*",'IAT-3'!F65:O65)</f>
        <v>0</v>
      </c>
      <c r="U65" s="198">
        <f t="shared" si="2"/>
        <v>0</v>
      </c>
      <c r="V65" s="100">
        <f>SUMIF('BL-3'!$C$23:$L$23,"*",'IAT-3'!F65:O65)</f>
        <v>0</v>
      </c>
      <c r="W65" s="96">
        <f t="shared" si="3"/>
        <v>0</v>
      </c>
      <c r="X65" s="203">
        <f>SUMIF('BL-3'!$C$24:$L$24,"*",'IAT-3'!F65:O65)</f>
        <v>0</v>
      </c>
      <c r="Y65" s="97">
        <f t="shared" si="4"/>
        <v>0</v>
      </c>
      <c r="Z65" s="4">
        <f t="shared" si="5"/>
        <v>0</v>
      </c>
      <c r="AA65" s="4">
        <f t="shared" si="6"/>
        <v>0</v>
      </c>
    </row>
    <row r="66" spans="2:27" x14ac:dyDescent="0.25">
      <c r="B66" s="2">
        <v>41</v>
      </c>
      <c r="C66" s="120">
        <f>'IAT-1'!C65</f>
        <v>951323243042</v>
      </c>
      <c r="D66" s="119" t="str">
        <f>'IAT-1'!D65</f>
        <v>MUTHUPRASANNA M</v>
      </c>
      <c r="E66" s="27"/>
      <c r="F66" s="114">
        <f>'I3'!D55</f>
        <v>0</v>
      </c>
      <c r="G66" s="115">
        <f>'I3'!E55</f>
        <v>0</v>
      </c>
      <c r="H66" s="114">
        <f>'I3'!F55</f>
        <v>0</v>
      </c>
      <c r="I66" s="115">
        <f>'I3'!G55</f>
        <v>0</v>
      </c>
      <c r="J66" s="114">
        <f>'I3'!H55</f>
        <v>0</v>
      </c>
      <c r="K66" s="115">
        <f>'I3'!I55</f>
        <v>0</v>
      </c>
      <c r="L66" s="114">
        <f>'I3'!J55</f>
        <v>0</v>
      </c>
      <c r="M66" s="115">
        <f>'I3'!K55</f>
        <v>0</v>
      </c>
      <c r="N66" s="114">
        <f>'I3'!L55</f>
        <v>0</v>
      </c>
      <c r="O66" s="115">
        <f>'I3'!M55</f>
        <v>0</v>
      </c>
      <c r="P66" s="201">
        <f>SUMIF('BL-3'!$C$20:$L$20,"*",'IAT-3'!F66:O66)</f>
        <v>0</v>
      </c>
      <c r="Q66" s="202">
        <f t="shared" si="0"/>
        <v>0</v>
      </c>
      <c r="R66" s="199">
        <f>SUMIF('BL-3'!$C$21:$L$21,"*",'IAT-3'!F66:O66)</f>
        <v>0</v>
      </c>
      <c r="S66" s="200">
        <f t="shared" si="1"/>
        <v>0</v>
      </c>
      <c r="T66" s="197">
        <f>SUMIF('BL-3'!$C$22:$L$22,"*",'IAT-3'!F66:O66)</f>
        <v>0</v>
      </c>
      <c r="U66" s="198">
        <f t="shared" si="2"/>
        <v>0</v>
      </c>
      <c r="V66" s="100">
        <f>SUMIF('BL-3'!$C$23:$L$23,"*",'IAT-3'!F66:O66)</f>
        <v>0</v>
      </c>
      <c r="W66" s="96">
        <f t="shared" si="3"/>
        <v>0</v>
      </c>
      <c r="X66" s="203">
        <f>SUMIF('BL-3'!$C$24:$L$24,"*",'IAT-3'!F66:O66)</f>
        <v>0</v>
      </c>
      <c r="Y66" s="97">
        <f t="shared" si="4"/>
        <v>0</v>
      </c>
      <c r="Z66" s="4">
        <f t="shared" si="5"/>
        <v>0</v>
      </c>
      <c r="AA66" s="4">
        <f t="shared" si="6"/>
        <v>0</v>
      </c>
    </row>
    <row r="67" spans="2:27" x14ac:dyDescent="0.25">
      <c r="B67" s="2">
        <v>42</v>
      </c>
      <c r="C67" s="120">
        <f>'IAT-1'!C66</f>
        <v>951323243043</v>
      </c>
      <c r="D67" s="119" t="str">
        <f>'IAT-1'!D66</f>
        <v>MUTHURAJ M</v>
      </c>
      <c r="E67" s="27"/>
      <c r="F67" s="114">
        <f>'I3'!D56</f>
        <v>0</v>
      </c>
      <c r="G67" s="115">
        <f>'I3'!E56</f>
        <v>0</v>
      </c>
      <c r="H67" s="114">
        <f>'I3'!F56</f>
        <v>0</v>
      </c>
      <c r="I67" s="115">
        <f>'I3'!G56</f>
        <v>0</v>
      </c>
      <c r="J67" s="114">
        <f>'I3'!H56</f>
        <v>0</v>
      </c>
      <c r="K67" s="115">
        <f>'I3'!I56</f>
        <v>0</v>
      </c>
      <c r="L67" s="114">
        <f>'I3'!J56</f>
        <v>0</v>
      </c>
      <c r="M67" s="115">
        <f>'I3'!K56</f>
        <v>0</v>
      </c>
      <c r="N67" s="114">
        <f>'I3'!L56</f>
        <v>0</v>
      </c>
      <c r="O67" s="115">
        <f>'I3'!M56</f>
        <v>0</v>
      </c>
      <c r="P67" s="201">
        <f>SUMIF('BL-3'!$C$20:$L$20,"*",'IAT-3'!F67:O67)</f>
        <v>0</v>
      </c>
      <c r="Q67" s="202">
        <f t="shared" si="0"/>
        <v>0</v>
      </c>
      <c r="R67" s="199">
        <f>SUMIF('BL-3'!$C$21:$L$21,"*",'IAT-3'!F67:O67)</f>
        <v>0</v>
      </c>
      <c r="S67" s="200">
        <f t="shared" si="1"/>
        <v>0</v>
      </c>
      <c r="T67" s="197">
        <f>SUMIF('BL-3'!$C$22:$L$22,"*",'IAT-3'!F67:O67)</f>
        <v>0</v>
      </c>
      <c r="U67" s="198">
        <f t="shared" si="2"/>
        <v>0</v>
      </c>
      <c r="V67" s="100">
        <f>SUMIF('BL-3'!$C$23:$L$23,"*",'IAT-3'!F67:O67)</f>
        <v>0</v>
      </c>
      <c r="W67" s="96">
        <f t="shared" si="3"/>
        <v>0</v>
      </c>
      <c r="X67" s="203">
        <f>SUMIF('BL-3'!$C$24:$L$24,"*",'IAT-3'!F67:O67)</f>
        <v>0</v>
      </c>
      <c r="Y67" s="97">
        <f t="shared" si="4"/>
        <v>0</v>
      </c>
      <c r="Z67" s="4">
        <f t="shared" si="5"/>
        <v>0</v>
      </c>
      <c r="AA67" s="4">
        <f t="shared" si="6"/>
        <v>0</v>
      </c>
    </row>
    <row r="68" spans="2:27" x14ac:dyDescent="0.25">
      <c r="B68" s="2">
        <v>43</v>
      </c>
      <c r="C68" s="120" t="e">
        <f>'IAT-1'!#REF!</f>
        <v>#REF!</v>
      </c>
      <c r="D68" s="119" t="e">
        <f>'IAT-1'!#REF!</f>
        <v>#REF!</v>
      </c>
      <c r="E68" s="27"/>
      <c r="F68" s="114">
        <f>'I3'!D57</f>
        <v>0</v>
      </c>
      <c r="G68" s="115">
        <f>'I3'!E57</f>
        <v>0</v>
      </c>
      <c r="H68" s="114">
        <f>'I3'!F57</f>
        <v>0</v>
      </c>
      <c r="I68" s="115">
        <f>'I3'!G57</f>
        <v>0</v>
      </c>
      <c r="J68" s="114">
        <f>'I3'!H57</f>
        <v>0</v>
      </c>
      <c r="K68" s="115">
        <f>'I3'!I57</f>
        <v>0</v>
      </c>
      <c r="L68" s="114">
        <f>'I3'!J57</f>
        <v>0</v>
      </c>
      <c r="M68" s="115">
        <f>'I3'!K57</f>
        <v>0</v>
      </c>
      <c r="N68" s="114">
        <f>'I3'!L57</f>
        <v>0</v>
      </c>
      <c r="O68" s="115">
        <f>'I3'!M57</f>
        <v>0</v>
      </c>
      <c r="P68" s="201">
        <f>SUMIF('BL-3'!$C$20:$L$20,"*",'IAT-3'!F68:O68)</f>
        <v>0</v>
      </c>
      <c r="Q68" s="202">
        <f>ROUND(IFERROR(P68/P$25,0)*100,1)</f>
        <v>0</v>
      </c>
      <c r="R68" s="199">
        <f>SUMIF('BL-3'!$C$21:$L$21,"*",'IAT-3'!F68:O68)</f>
        <v>0</v>
      </c>
      <c r="S68" s="200">
        <f>ROUND(IFERROR(R68/R$25,0)*100,1)</f>
        <v>0</v>
      </c>
      <c r="T68" s="197">
        <f>SUMIF('BL-3'!$C$22:$L$22,"*",'IAT-3'!F68:O68)</f>
        <v>0</v>
      </c>
      <c r="U68" s="198">
        <f>ROUND(IFERROR(T68/T$25,0)*100,1)</f>
        <v>0</v>
      </c>
      <c r="V68" s="100">
        <f>SUMIF('BL-3'!$C$23:$L$23,"*",'IAT-3'!F68:O68)</f>
        <v>0</v>
      </c>
      <c r="W68" s="96">
        <f>ROUND(IFERROR(V68/V$25,0)*100,1)</f>
        <v>0</v>
      </c>
      <c r="X68" s="203">
        <f>SUMIF('BL-3'!$C$24:$L$24,"*",'IAT-3'!F68:O68)</f>
        <v>0</v>
      </c>
      <c r="Y68" s="97">
        <f>ROUND(IFERROR(X68/X$25,0)*100,1)</f>
        <v>0</v>
      </c>
      <c r="Z68" s="4">
        <f t="shared" si="5"/>
        <v>0</v>
      </c>
      <c r="AA68" s="4">
        <f t="shared" si="6"/>
        <v>0</v>
      </c>
    </row>
    <row r="69" spans="2:27" x14ac:dyDescent="0.25">
      <c r="B69" s="2">
        <v>44</v>
      </c>
      <c r="C69" s="120">
        <f>'IAT-1'!C67</f>
        <v>951323243045</v>
      </c>
      <c r="D69" s="119" t="str">
        <f>'IAT-1'!D67</f>
        <v>PONKEERTHANA B</v>
      </c>
      <c r="E69" s="27"/>
      <c r="F69" s="114">
        <f>'I3'!D58</f>
        <v>0</v>
      </c>
      <c r="G69" s="115">
        <f>'I3'!E58</f>
        <v>0</v>
      </c>
      <c r="H69" s="114">
        <f>'I3'!F58</f>
        <v>0</v>
      </c>
      <c r="I69" s="115">
        <f>'I3'!G58</f>
        <v>0</v>
      </c>
      <c r="J69" s="114">
        <f>'I3'!H58</f>
        <v>0</v>
      </c>
      <c r="K69" s="115">
        <f>'I3'!I58</f>
        <v>0</v>
      </c>
      <c r="L69" s="114">
        <f>'I3'!J58</f>
        <v>0</v>
      </c>
      <c r="M69" s="115">
        <f>'I3'!K58</f>
        <v>0</v>
      </c>
      <c r="N69" s="114">
        <f>'I3'!L58</f>
        <v>0</v>
      </c>
      <c r="O69" s="115">
        <f>'I3'!M58</f>
        <v>0</v>
      </c>
      <c r="P69" s="201">
        <f>SUMIF('BL-3'!$C$20:$L$20,"*",'IAT-3'!F69:O69)</f>
        <v>0</v>
      </c>
      <c r="Q69" s="202">
        <f t="shared" si="0"/>
        <v>0</v>
      </c>
      <c r="R69" s="199">
        <f>SUMIF('BL-3'!$C$21:$L$21,"*",'IAT-3'!F69:O69)</f>
        <v>0</v>
      </c>
      <c r="S69" s="200">
        <f t="shared" si="1"/>
        <v>0</v>
      </c>
      <c r="T69" s="197">
        <f>SUMIF('BL-3'!$C$22:$L$22,"*",'IAT-3'!F69:O69)</f>
        <v>0</v>
      </c>
      <c r="U69" s="198">
        <f t="shared" si="2"/>
        <v>0</v>
      </c>
      <c r="V69" s="100">
        <f>SUMIF('BL-3'!$C$23:$L$23,"*",'IAT-3'!F69:O69)</f>
        <v>0</v>
      </c>
      <c r="W69" s="96">
        <f t="shared" si="3"/>
        <v>0</v>
      </c>
      <c r="X69" s="203">
        <f>SUMIF('BL-3'!$C$24:$L$24,"*",'IAT-3'!F69:O69)</f>
        <v>0</v>
      </c>
      <c r="Y69" s="97">
        <f t="shared" si="4"/>
        <v>0</v>
      </c>
      <c r="Z69" s="4">
        <f t="shared" si="5"/>
        <v>0</v>
      </c>
      <c r="AA69" s="4">
        <f t="shared" si="6"/>
        <v>0</v>
      </c>
    </row>
    <row r="70" spans="2:27" x14ac:dyDescent="0.25">
      <c r="B70" s="2">
        <v>45</v>
      </c>
      <c r="C70" s="120">
        <f>'IAT-1'!C68</f>
        <v>951323243046</v>
      </c>
      <c r="D70" s="119" t="str">
        <f>'IAT-1'!D68</f>
        <v>POORANATRIFFIE P</v>
      </c>
      <c r="E70" s="27"/>
      <c r="F70" s="114">
        <f>'I3'!D59</f>
        <v>0</v>
      </c>
      <c r="G70" s="115">
        <f>'I3'!E59</f>
        <v>0</v>
      </c>
      <c r="H70" s="114">
        <f>'I3'!F59</f>
        <v>0</v>
      </c>
      <c r="I70" s="115">
        <f>'I3'!G59</f>
        <v>0</v>
      </c>
      <c r="J70" s="114">
        <f>'I3'!H59</f>
        <v>0</v>
      </c>
      <c r="K70" s="115">
        <f>'I3'!I59</f>
        <v>0</v>
      </c>
      <c r="L70" s="114">
        <f>'I3'!J59</f>
        <v>0</v>
      </c>
      <c r="M70" s="115">
        <f>'I3'!K59</f>
        <v>0</v>
      </c>
      <c r="N70" s="114">
        <f>'I3'!L59</f>
        <v>0</v>
      </c>
      <c r="O70" s="115">
        <f>'I3'!M59</f>
        <v>0</v>
      </c>
      <c r="P70" s="201">
        <f>SUMIF('BL-3'!$C$20:$L$20,"*",'IAT-3'!F70:O70)</f>
        <v>0</v>
      </c>
      <c r="Q70" s="202">
        <f t="shared" si="0"/>
        <v>0</v>
      </c>
      <c r="R70" s="199">
        <f>SUMIF('BL-3'!$C$21:$L$21,"*",'IAT-3'!F70:O70)</f>
        <v>0</v>
      </c>
      <c r="S70" s="200">
        <f t="shared" si="1"/>
        <v>0</v>
      </c>
      <c r="T70" s="197">
        <f>SUMIF('BL-3'!$C$22:$L$22,"*",'IAT-3'!F70:O70)</f>
        <v>0</v>
      </c>
      <c r="U70" s="198">
        <f t="shared" si="2"/>
        <v>0</v>
      </c>
      <c r="V70" s="100">
        <f>SUMIF('BL-3'!$C$23:$L$23,"*",'IAT-3'!F70:O70)</f>
        <v>0</v>
      </c>
      <c r="W70" s="96">
        <f t="shared" si="3"/>
        <v>0</v>
      </c>
      <c r="X70" s="203">
        <f>SUMIF('BL-3'!$C$24:$L$24,"*",'IAT-3'!F70:O70)</f>
        <v>0</v>
      </c>
      <c r="Y70" s="97">
        <f t="shared" si="4"/>
        <v>0</v>
      </c>
      <c r="Z70" s="4">
        <f t="shared" si="5"/>
        <v>0</v>
      </c>
      <c r="AA70" s="4">
        <f t="shared" si="6"/>
        <v>0</v>
      </c>
    </row>
    <row r="71" spans="2:27" x14ac:dyDescent="0.25">
      <c r="B71" s="2">
        <v>46</v>
      </c>
      <c r="C71" s="120">
        <f>'IAT-1'!C69</f>
        <v>951323243047</v>
      </c>
      <c r="D71" s="119" t="str">
        <f>'IAT-1'!D69</f>
        <v>RACKLAND T</v>
      </c>
      <c r="E71" s="27"/>
      <c r="F71" s="114">
        <f>'I3'!D60</f>
        <v>0</v>
      </c>
      <c r="G71" s="115">
        <f>'I3'!E60</f>
        <v>0</v>
      </c>
      <c r="H71" s="114">
        <f>'I3'!F60</f>
        <v>0</v>
      </c>
      <c r="I71" s="115">
        <f>'I3'!G60</f>
        <v>0</v>
      </c>
      <c r="J71" s="114">
        <f>'I3'!H60</f>
        <v>0</v>
      </c>
      <c r="K71" s="115">
        <f>'I3'!I60</f>
        <v>0</v>
      </c>
      <c r="L71" s="114">
        <f>'I3'!J60</f>
        <v>0</v>
      </c>
      <c r="M71" s="115">
        <f>'I3'!K60</f>
        <v>0</v>
      </c>
      <c r="N71" s="114">
        <f>'I3'!L60</f>
        <v>0</v>
      </c>
      <c r="O71" s="115">
        <f>'I3'!M60</f>
        <v>0</v>
      </c>
      <c r="P71" s="201">
        <f>SUMIF('BL-3'!$C$20:$L$20,"*",'IAT-3'!F71:O71)</f>
        <v>0</v>
      </c>
      <c r="Q71" s="202">
        <f t="shared" ref="Q71:Q77" si="7">ROUND(IFERROR(P71/P$25,0)*100,1)</f>
        <v>0</v>
      </c>
      <c r="R71" s="199">
        <f>SUMIF('BL-3'!$C$21:$L$21,"*",'IAT-3'!F71:O71)</f>
        <v>0</v>
      </c>
      <c r="S71" s="200">
        <f t="shared" ref="S71:S77" si="8">ROUND(IFERROR(R71/R$25,0)*100,1)</f>
        <v>0</v>
      </c>
      <c r="T71" s="197">
        <f>SUMIF('BL-3'!$C$22:$L$22,"*",'IAT-3'!F71:O71)</f>
        <v>0</v>
      </c>
      <c r="U71" s="198">
        <f t="shared" ref="U71:U77" si="9">ROUND(IFERROR(T71/T$25,0)*100,1)</f>
        <v>0</v>
      </c>
      <c r="V71" s="100">
        <f>SUMIF('BL-3'!$C$23:$L$23,"*",'IAT-3'!F71:O71)</f>
        <v>0</v>
      </c>
      <c r="W71" s="96">
        <f t="shared" ref="W71:W77" si="10">ROUND(IFERROR(V71/V$25,0)*100,1)</f>
        <v>0</v>
      </c>
      <c r="X71" s="203">
        <f>SUMIF('BL-3'!$C$24:$L$24,"*",'IAT-3'!F71:O71)</f>
        <v>0</v>
      </c>
      <c r="Y71" s="97">
        <f t="shared" ref="Y71:Y77" si="11">ROUND(IFERROR(X71/X$25,0)*100,1)</f>
        <v>0</v>
      </c>
      <c r="Z71" s="4">
        <f t="shared" ref="Z71:Z77" si="12">SUM(P71,R71,T71,V71,X71)</f>
        <v>0</v>
      </c>
      <c r="AA71" s="4">
        <f t="shared" ref="AA71:AA77" si="13">Z71*2</f>
        <v>0</v>
      </c>
    </row>
    <row r="72" spans="2:27" x14ac:dyDescent="0.25">
      <c r="B72" s="2">
        <v>47</v>
      </c>
      <c r="C72" s="120">
        <f>'IAT-1'!C70</f>
        <v>951323243048</v>
      </c>
      <c r="D72" s="119" t="str">
        <f>'IAT-1'!D70</f>
        <v>RAJA SUNDAR K</v>
      </c>
      <c r="E72" s="27"/>
      <c r="F72" s="114">
        <f>'I3'!D61</f>
        <v>0</v>
      </c>
      <c r="G72" s="115">
        <f>'I3'!E61</f>
        <v>0</v>
      </c>
      <c r="H72" s="114">
        <f>'I3'!F61</f>
        <v>0</v>
      </c>
      <c r="I72" s="115">
        <f>'I3'!G61</f>
        <v>0</v>
      </c>
      <c r="J72" s="114">
        <f>'I3'!H61</f>
        <v>0</v>
      </c>
      <c r="K72" s="115">
        <f>'I3'!I61</f>
        <v>0</v>
      </c>
      <c r="L72" s="114">
        <f>'I3'!J61</f>
        <v>0</v>
      </c>
      <c r="M72" s="115">
        <f>'I3'!K61</f>
        <v>0</v>
      </c>
      <c r="N72" s="114">
        <f>'I3'!L61</f>
        <v>0</v>
      </c>
      <c r="O72" s="115">
        <f>'I3'!M61</f>
        <v>0</v>
      </c>
      <c r="P72" s="201">
        <f>SUMIF('BL-3'!$C$20:$L$20,"*",'IAT-3'!F72:O72)</f>
        <v>0</v>
      </c>
      <c r="Q72" s="202">
        <f t="shared" si="7"/>
        <v>0</v>
      </c>
      <c r="R72" s="199">
        <f>SUMIF('BL-3'!$C$21:$L$21,"*",'IAT-3'!F72:O72)</f>
        <v>0</v>
      </c>
      <c r="S72" s="200">
        <f t="shared" si="8"/>
        <v>0</v>
      </c>
      <c r="T72" s="197">
        <f>SUMIF('BL-3'!$C$22:$L$22,"*",'IAT-3'!F72:O72)</f>
        <v>0</v>
      </c>
      <c r="U72" s="198">
        <f t="shared" si="9"/>
        <v>0</v>
      </c>
      <c r="V72" s="100">
        <f>SUMIF('BL-3'!$C$23:$L$23,"*",'IAT-3'!F72:O72)</f>
        <v>0</v>
      </c>
      <c r="W72" s="96">
        <f t="shared" si="10"/>
        <v>0</v>
      </c>
      <c r="X72" s="203">
        <f>SUMIF('BL-3'!$C$24:$L$24,"*",'IAT-3'!F72:O72)</f>
        <v>0</v>
      </c>
      <c r="Y72" s="97">
        <f t="shared" si="11"/>
        <v>0</v>
      </c>
      <c r="Z72" s="4">
        <f t="shared" si="12"/>
        <v>0</v>
      </c>
      <c r="AA72" s="4">
        <f t="shared" si="13"/>
        <v>0</v>
      </c>
    </row>
    <row r="73" spans="2:27" x14ac:dyDescent="0.25">
      <c r="B73" s="2">
        <v>48</v>
      </c>
      <c r="C73" s="120">
        <f>'IAT-1'!C71</f>
        <v>951323243049</v>
      </c>
      <c r="D73" s="119" t="str">
        <f>'IAT-1'!D71</f>
        <v>RAMALINGAM B</v>
      </c>
      <c r="E73" s="27"/>
      <c r="F73" s="114">
        <f>'I3'!D62</f>
        <v>0</v>
      </c>
      <c r="G73" s="115">
        <f>'I3'!E62</f>
        <v>0</v>
      </c>
      <c r="H73" s="114">
        <f>'I3'!F62</f>
        <v>0</v>
      </c>
      <c r="I73" s="115">
        <f>'I3'!G62</f>
        <v>0</v>
      </c>
      <c r="J73" s="114">
        <f>'I3'!H62</f>
        <v>0</v>
      </c>
      <c r="K73" s="115">
        <f>'I3'!I62</f>
        <v>0</v>
      </c>
      <c r="L73" s="114">
        <f>'I3'!J62</f>
        <v>0</v>
      </c>
      <c r="M73" s="115">
        <f>'I3'!K62</f>
        <v>0</v>
      </c>
      <c r="N73" s="114">
        <f>'I3'!L62</f>
        <v>0</v>
      </c>
      <c r="O73" s="115">
        <f>'I3'!M62</f>
        <v>0</v>
      </c>
      <c r="P73" s="201">
        <f>SUMIF('BL-3'!$C$20:$L$20,"*",'IAT-3'!F73:O73)</f>
        <v>0</v>
      </c>
      <c r="Q73" s="202">
        <f t="shared" si="7"/>
        <v>0</v>
      </c>
      <c r="R73" s="199">
        <f>SUMIF('BL-3'!$C$21:$L$21,"*",'IAT-3'!F73:O73)</f>
        <v>0</v>
      </c>
      <c r="S73" s="200">
        <f t="shared" si="8"/>
        <v>0</v>
      </c>
      <c r="T73" s="197">
        <f>SUMIF('BL-3'!$C$22:$L$22,"*",'IAT-3'!F73:O73)</f>
        <v>0</v>
      </c>
      <c r="U73" s="198">
        <f t="shared" si="9"/>
        <v>0</v>
      </c>
      <c r="V73" s="100">
        <f>SUMIF('BL-3'!$C$23:$L$23,"*",'IAT-3'!F73:O73)</f>
        <v>0</v>
      </c>
      <c r="W73" s="96">
        <f t="shared" si="10"/>
        <v>0</v>
      </c>
      <c r="X73" s="203">
        <f>SUMIF('BL-3'!$C$24:$L$24,"*",'IAT-3'!F73:O73)</f>
        <v>0</v>
      </c>
      <c r="Y73" s="97">
        <f t="shared" si="11"/>
        <v>0</v>
      </c>
      <c r="Z73" s="4">
        <f t="shared" si="12"/>
        <v>0</v>
      </c>
      <c r="AA73" s="4">
        <f t="shared" si="13"/>
        <v>0</v>
      </c>
    </row>
    <row r="74" spans="2:27" x14ac:dyDescent="0.25">
      <c r="B74" s="2">
        <v>49</v>
      </c>
      <c r="C74" s="120">
        <f>'IAT-1'!C72</f>
        <v>951323243050</v>
      </c>
      <c r="D74" s="119" t="str">
        <f>'IAT-1'!D72</f>
        <v>SELVAM GRACELIN S</v>
      </c>
      <c r="E74" s="27"/>
      <c r="F74" s="114">
        <f>'I3'!D63</f>
        <v>0</v>
      </c>
      <c r="G74" s="115">
        <f>'I3'!E63</f>
        <v>0</v>
      </c>
      <c r="H74" s="114">
        <f>'I3'!F63</f>
        <v>0</v>
      </c>
      <c r="I74" s="115">
        <f>'I3'!G63</f>
        <v>0</v>
      </c>
      <c r="J74" s="114">
        <f>'I3'!H63</f>
        <v>0</v>
      </c>
      <c r="K74" s="115">
        <f>'I3'!I63</f>
        <v>0</v>
      </c>
      <c r="L74" s="114">
        <f>'I3'!J63</f>
        <v>0</v>
      </c>
      <c r="M74" s="115">
        <f>'I3'!K63</f>
        <v>0</v>
      </c>
      <c r="N74" s="114">
        <f>'I3'!L63</f>
        <v>0</v>
      </c>
      <c r="O74" s="115">
        <f>'I3'!M63</f>
        <v>0</v>
      </c>
      <c r="P74" s="201">
        <f>SUMIF('BL-3'!$C$20:$L$20,"*",'IAT-3'!F74:O74)</f>
        <v>0</v>
      </c>
      <c r="Q74" s="202">
        <f t="shared" si="7"/>
        <v>0</v>
      </c>
      <c r="R74" s="199">
        <f>SUMIF('BL-3'!$C$21:$L$21,"*",'IAT-3'!F74:O74)</f>
        <v>0</v>
      </c>
      <c r="S74" s="200">
        <f t="shared" si="8"/>
        <v>0</v>
      </c>
      <c r="T74" s="197">
        <f>SUMIF('BL-3'!$C$22:$L$22,"*",'IAT-3'!F74:O74)</f>
        <v>0</v>
      </c>
      <c r="U74" s="198">
        <f t="shared" si="9"/>
        <v>0</v>
      </c>
      <c r="V74" s="100">
        <f>SUMIF('BL-3'!$C$23:$L$23,"*",'IAT-3'!F74:O74)</f>
        <v>0</v>
      </c>
      <c r="W74" s="96">
        <f t="shared" si="10"/>
        <v>0</v>
      </c>
      <c r="X74" s="203">
        <f>SUMIF('BL-3'!$C$24:$L$24,"*",'IAT-3'!F74:O74)</f>
        <v>0</v>
      </c>
      <c r="Y74" s="97">
        <f t="shared" si="11"/>
        <v>0</v>
      </c>
      <c r="Z74" s="4">
        <f t="shared" si="12"/>
        <v>0</v>
      </c>
      <c r="AA74" s="4">
        <f t="shared" si="13"/>
        <v>0</v>
      </c>
    </row>
    <row r="75" spans="2:27" x14ac:dyDescent="0.25">
      <c r="B75" s="2">
        <v>50</v>
      </c>
      <c r="C75" s="120">
        <f>'IAT-1'!C73</f>
        <v>951323243051</v>
      </c>
      <c r="D75" s="119" t="str">
        <f>'IAT-1'!D73</f>
        <v>SHANKAR V</v>
      </c>
      <c r="E75" s="27"/>
      <c r="F75" s="114">
        <f>'I3'!D64</f>
        <v>0</v>
      </c>
      <c r="G75" s="115">
        <f>'I3'!E64</f>
        <v>0</v>
      </c>
      <c r="H75" s="114">
        <f>'I3'!F64</f>
        <v>0</v>
      </c>
      <c r="I75" s="115">
        <f>'I3'!G64</f>
        <v>0</v>
      </c>
      <c r="J75" s="114">
        <f>'I3'!H64</f>
        <v>0</v>
      </c>
      <c r="K75" s="115">
        <f>'I3'!I64</f>
        <v>0</v>
      </c>
      <c r="L75" s="114">
        <f>'I3'!J64</f>
        <v>0</v>
      </c>
      <c r="M75" s="115">
        <f>'I3'!K64</f>
        <v>0</v>
      </c>
      <c r="N75" s="114">
        <f>'I3'!L64</f>
        <v>0</v>
      </c>
      <c r="O75" s="115">
        <f>'I3'!M64</f>
        <v>0</v>
      </c>
      <c r="P75" s="201">
        <f>SUMIF('BL-3'!$C$20:$L$20,"*",'IAT-3'!F75:O75)</f>
        <v>0</v>
      </c>
      <c r="Q75" s="202">
        <f t="shared" si="7"/>
        <v>0</v>
      </c>
      <c r="R75" s="199">
        <f>SUMIF('BL-3'!$C$21:$L$21,"*",'IAT-3'!F75:O75)</f>
        <v>0</v>
      </c>
      <c r="S75" s="200">
        <f t="shared" si="8"/>
        <v>0</v>
      </c>
      <c r="T75" s="197">
        <f>SUMIF('BL-3'!$C$22:$L$22,"*",'IAT-3'!F75:O75)</f>
        <v>0</v>
      </c>
      <c r="U75" s="198">
        <f t="shared" si="9"/>
        <v>0</v>
      </c>
      <c r="V75" s="100">
        <f>SUMIF('BL-3'!$C$23:$L$23,"*",'IAT-3'!F75:O75)</f>
        <v>0</v>
      </c>
      <c r="W75" s="96">
        <f t="shared" si="10"/>
        <v>0</v>
      </c>
      <c r="X75" s="203">
        <f>SUMIF('BL-3'!$C$24:$L$24,"*",'IAT-3'!F75:O75)</f>
        <v>0</v>
      </c>
      <c r="Y75" s="97">
        <f t="shared" si="11"/>
        <v>0</v>
      </c>
      <c r="Z75" s="4">
        <f t="shared" si="12"/>
        <v>0</v>
      </c>
      <c r="AA75" s="4">
        <f t="shared" si="13"/>
        <v>0</v>
      </c>
    </row>
    <row r="76" spans="2:27" x14ac:dyDescent="0.25">
      <c r="B76" s="2">
        <v>51</v>
      </c>
      <c r="C76" s="120">
        <f>'IAT-1'!C74</f>
        <v>951323243052</v>
      </c>
      <c r="D76" s="119" t="str">
        <f>'IAT-1'!D74</f>
        <v>SINDHUJA RAJASUMANA R</v>
      </c>
      <c r="E76" s="27"/>
      <c r="F76" s="114">
        <f>'I3'!D65</f>
        <v>0</v>
      </c>
      <c r="G76" s="115">
        <f>'I3'!E65</f>
        <v>0</v>
      </c>
      <c r="H76" s="114">
        <f>'I3'!F65</f>
        <v>0</v>
      </c>
      <c r="I76" s="115">
        <f>'I3'!G65</f>
        <v>0</v>
      </c>
      <c r="J76" s="114">
        <f>'I3'!H65</f>
        <v>0</v>
      </c>
      <c r="K76" s="115">
        <f>'I3'!I65</f>
        <v>0</v>
      </c>
      <c r="L76" s="114">
        <f>'I3'!J65</f>
        <v>0</v>
      </c>
      <c r="M76" s="115">
        <f>'I3'!K65</f>
        <v>0</v>
      </c>
      <c r="N76" s="114">
        <f>'I3'!L65</f>
        <v>0</v>
      </c>
      <c r="O76" s="115">
        <f>'I3'!M65</f>
        <v>0</v>
      </c>
      <c r="P76" s="201">
        <f>SUMIF('BL-3'!$C$20:$L$20,"*",'IAT-3'!F76:O76)</f>
        <v>0</v>
      </c>
      <c r="Q76" s="202">
        <f t="shared" si="7"/>
        <v>0</v>
      </c>
      <c r="R76" s="199">
        <f>SUMIF('BL-3'!$C$21:$L$21,"*",'IAT-3'!F76:O76)</f>
        <v>0</v>
      </c>
      <c r="S76" s="200">
        <f t="shared" si="8"/>
        <v>0</v>
      </c>
      <c r="T76" s="197">
        <f>SUMIF('BL-3'!$C$22:$L$22,"*",'IAT-3'!F76:O76)</f>
        <v>0</v>
      </c>
      <c r="U76" s="198">
        <f t="shared" si="9"/>
        <v>0</v>
      </c>
      <c r="V76" s="100">
        <f>SUMIF('BL-3'!$C$23:$L$23,"*",'IAT-3'!F76:O76)</f>
        <v>0</v>
      </c>
      <c r="W76" s="96">
        <f t="shared" si="10"/>
        <v>0</v>
      </c>
      <c r="X76" s="203">
        <f>SUMIF('BL-3'!$C$24:$L$24,"*",'IAT-3'!F76:O76)</f>
        <v>0</v>
      </c>
      <c r="Y76" s="97">
        <f t="shared" si="11"/>
        <v>0</v>
      </c>
      <c r="Z76" s="4">
        <f t="shared" si="12"/>
        <v>0</v>
      </c>
      <c r="AA76" s="4">
        <f t="shared" si="13"/>
        <v>0</v>
      </c>
    </row>
    <row r="77" spans="2:27" x14ac:dyDescent="0.25">
      <c r="B77" s="2">
        <v>52</v>
      </c>
      <c r="C77" s="120">
        <f>'IAT-1'!C75</f>
        <v>951323243053</v>
      </c>
      <c r="D77" s="119" t="str">
        <f>'IAT-1'!D75</f>
        <v>SNEGA G</v>
      </c>
      <c r="E77" s="27"/>
      <c r="F77" s="114">
        <f>'I3'!D66</f>
        <v>0</v>
      </c>
      <c r="G77" s="115">
        <f>'I3'!E66</f>
        <v>0</v>
      </c>
      <c r="H77" s="114">
        <f>'I3'!F66</f>
        <v>0</v>
      </c>
      <c r="I77" s="115">
        <f>'I3'!G66</f>
        <v>0</v>
      </c>
      <c r="J77" s="114">
        <f>'I3'!H66</f>
        <v>0</v>
      </c>
      <c r="K77" s="115">
        <f>'I3'!I66</f>
        <v>0</v>
      </c>
      <c r="L77" s="114">
        <f>'I3'!J66</f>
        <v>0</v>
      </c>
      <c r="M77" s="115">
        <f>'I3'!K66</f>
        <v>0</v>
      </c>
      <c r="N77" s="114">
        <f>'I3'!L66</f>
        <v>0</v>
      </c>
      <c r="O77" s="115">
        <f>'I3'!M66</f>
        <v>0</v>
      </c>
      <c r="P77" s="201">
        <f>SUMIF('BL-3'!$C$20:$L$20,"*",'IAT-3'!F77:O77)</f>
        <v>0</v>
      </c>
      <c r="Q77" s="202">
        <f t="shared" si="7"/>
        <v>0</v>
      </c>
      <c r="R77" s="199">
        <f>SUMIF('BL-3'!$C$21:$L$21,"*",'IAT-3'!F77:O77)</f>
        <v>0</v>
      </c>
      <c r="S77" s="200">
        <f t="shared" si="8"/>
        <v>0</v>
      </c>
      <c r="T77" s="197">
        <f>SUMIF('BL-3'!$C$22:$L$22,"*",'IAT-3'!F77:O77)</f>
        <v>0</v>
      </c>
      <c r="U77" s="198">
        <f t="shared" si="9"/>
        <v>0</v>
      </c>
      <c r="V77" s="100">
        <f>SUMIF('BL-3'!$C$23:$L$23,"*",'IAT-3'!F77:O77)</f>
        <v>0</v>
      </c>
      <c r="W77" s="96">
        <f t="shared" si="10"/>
        <v>0</v>
      </c>
      <c r="X77" s="203">
        <f>SUMIF('BL-3'!$C$24:$L$24,"*",'IAT-3'!F77:O77)</f>
        <v>0</v>
      </c>
      <c r="Y77" s="97">
        <f t="shared" si="11"/>
        <v>0</v>
      </c>
      <c r="Z77" s="4">
        <f t="shared" si="12"/>
        <v>0</v>
      </c>
      <c r="AA77" s="4">
        <f t="shared" si="13"/>
        <v>0</v>
      </c>
    </row>
    <row r="78" spans="2:27" x14ac:dyDescent="0.25">
      <c r="B78" s="2">
        <v>53</v>
      </c>
      <c r="C78" s="120">
        <f>'IAT-1'!C76</f>
        <v>951323243054</v>
      </c>
      <c r="D78" s="119" t="str">
        <f>'IAT-1'!D76</f>
        <v>SUBRAMANIAN V</v>
      </c>
      <c r="E78" s="27"/>
      <c r="F78" s="114">
        <f>'I3'!D67</f>
        <v>0</v>
      </c>
      <c r="G78" s="115">
        <f>'I3'!E67</f>
        <v>0</v>
      </c>
      <c r="H78" s="114">
        <f>'I3'!F67</f>
        <v>0</v>
      </c>
      <c r="I78" s="115">
        <f>'I3'!G67</f>
        <v>0</v>
      </c>
      <c r="J78" s="114">
        <f>'I3'!H67</f>
        <v>0</v>
      </c>
      <c r="K78" s="115">
        <f>'I3'!I67</f>
        <v>0</v>
      </c>
      <c r="L78" s="114">
        <f>'I3'!J67</f>
        <v>0</v>
      </c>
      <c r="M78" s="115">
        <f>'I3'!K67</f>
        <v>0</v>
      </c>
      <c r="N78" s="114">
        <f>'I3'!L67</f>
        <v>0</v>
      </c>
      <c r="O78" s="115">
        <f>'I3'!M67</f>
        <v>0</v>
      </c>
      <c r="P78" s="201">
        <f>SUMIF('BL-3'!$C$20:$L$20,"*",'IAT-3'!F78:O78)</f>
        <v>0</v>
      </c>
      <c r="Q78" s="202">
        <f t="shared" si="0"/>
        <v>0</v>
      </c>
      <c r="R78" s="199">
        <f>SUMIF('BL-3'!$C$21:$L$21,"*",'IAT-3'!F78:O78)</f>
        <v>0</v>
      </c>
      <c r="S78" s="200">
        <f t="shared" si="1"/>
        <v>0</v>
      </c>
      <c r="T78" s="197">
        <f>SUMIF('BL-3'!$C$22:$L$22,"*",'IAT-3'!F78:O78)</f>
        <v>0</v>
      </c>
      <c r="U78" s="198">
        <f t="shared" si="2"/>
        <v>0</v>
      </c>
      <c r="V78" s="100">
        <f>SUMIF('BL-3'!$C$23:$L$23,"*",'IAT-3'!F78:O78)</f>
        <v>0</v>
      </c>
      <c r="W78" s="96">
        <f t="shared" si="3"/>
        <v>0</v>
      </c>
      <c r="X78" s="203">
        <f>SUMIF('BL-3'!$C$24:$L$24,"*",'IAT-3'!F78:O78)</f>
        <v>0</v>
      </c>
      <c r="Y78" s="97">
        <f t="shared" si="4"/>
        <v>0</v>
      </c>
      <c r="Z78" s="4">
        <f t="shared" si="5"/>
        <v>0</v>
      </c>
      <c r="AA78" s="4">
        <f t="shared" si="6"/>
        <v>0</v>
      </c>
    </row>
    <row r="79" spans="2:27" x14ac:dyDescent="0.25">
      <c r="B79" s="2">
        <v>54</v>
      </c>
      <c r="C79" s="120">
        <f>'IAT-1'!C77</f>
        <v>951323243055</v>
      </c>
      <c r="D79" s="119" t="str">
        <f>'IAT-1'!D77</f>
        <v>SUGAN RAJ H</v>
      </c>
      <c r="E79" s="27"/>
      <c r="F79" s="114">
        <f>'I3'!D68</f>
        <v>0</v>
      </c>
      <c r="G79" s="115">
        <f>'I3'!E68</f>
        <v>0</v>
      </c>
      <c r="H79" s="114">
        <f>'I3'!F68</f>
        <v>0</v>
      </c>
      <c r="I79" s="115">
        <f>'I3'!G68</f>
        <v>0</v>
      </c>
      <c r="J79" s="114">
        <f>'I3'!H68</f>
        <v>0</v>
      </c>
      <c r="K79" s="115">
        <f>'I3'!I68</f>
        <v>0</v>
      </c>
      <c r="L79" s="114">
        <f>'I3'!J68</f>
        <v>0</v>
      </c>
      <c r="M79" s="115">
        <f>'I3'!K68</f>
        <v>0</v>
      </c>
      <c r="N79" s="114">
        <f>'I3'!L68</f>
        <v>0</v>
      </c>
      <c r="O79" s="115">
        <f>'I3'!M68</f>
        <v>0</v>
      </c>
      <c r="P79" s="201">
        <f>SUMIF('BL-3'!$C$20:$L$20,"*",'IAT-3'!F79:O79)</f>
        <v>0</v>
      </c>
      <c r="Q79" s="202">
        <f t="shared" si="0"/>
        <v>0</v>
      </c>
      <c r="R79" s="199">
        <f>SUMIF('BL-3'!$C$21:$L$21,"*",'IAT-3'!F79:O79)</f>
        <v>0</v>
      </c>
      <c r="S79" s="200">
        <f t="shared" si="1"/>
        <v>0</v>
      </c>
      <c r="T79" s="197">
        <f>SUMIF('BL-3'!$C$22:$L$22,"*",'IAT-3'!F79:O79)</f>
        <v>0</v>
      </c>
      <c r="U79" s="198">
        <f t="shared" si="2"/>
        <v>0</v>
      </c>
      <c r="V79" s="100">
        <f>SUMIF('BL-3'!$C$23:$L$23,"*",'IAT-3'!F79:O79)</f>
        <v>0</v>
      </c>
      <c r="W79" s="96">
        <f t="shared" si="3"/>
        <v>0</v>
      </c>
      <c r="X79" s="203">
        <f>SUMIF('BL-3'!$C$24:$L$24,"*",'IAT-3'!F79:O79)</f>
        <v>0</v>
      </c>
      <c r="Y79" s="97">
        <f t="shared" si="4"/>
        <v>0</v>
      </c>
      <c r="Z79" s="4">
        <f t="shared" si="5"/>
        <v>0</v>
      </c>
      <c r="AA79" s="4">
        <f t="shared" si="6"/>
        <v>0</v>
      </c>
    </row>
    <row r="80" spans="2:27" x14ac:dyDescent="0.25">
      <c r="B80" s="2">
        <v>55</v>
      </c>
      <c r="C80" s="120">
        <f>'IAT-1'!C78</f>
        <v>951323243056</v>
      </c>
      <c r="D80" s="119" t="str">
        <f>'IAT-1'!D78</f>
        <v>THOMAS KOILRAJ J</v>
      </c>
      <c r="E80" s="27"/>
      <c r="F80" s="114">
        <f>'I3'!D69</f>
        <v>0</v>
      </c>
      <c r="G80" s="115">
        <f>'I3'!E69</f>
        <v>0</v>
      </c>
      <c r="H80" s="114">
        <f>'I3'!F69</f>
        <v>0</v>
      </c>
      <c r="I80" s="115">
        <f>'I3'!G69</f>
        <v>0</v>
      </c>
      <c r="J80" s="114">
        <f>'I3'!H69</f>
        <v>0</v>
      </c>
      <c r="K80" s="115">
        <f>'I3'!I69</f>
        <v>0</v>
      </c>
      <c r="L80" s="114">
        <f>'I3'!J69</f>
        <v>0</v>
      </c>
      <c r="M80" s="115">
        <f>'I3'!K69</f>
        <v>0</v>
      </c>
      <c r="N80" s="114">
        <f>'I3'!L69</f>
        <v>0</v>
      </c>
      <c r="O80" s="115">
        <f>'I3'!M69</f>
        <v>0</v>
      </c>
      <c r="P80" s="201">
        <f>SUMIF('BL-3'!$C$20:$L$20,"*",'IAT-3'!F80:O80)</f>
        <v>0</v>
      </c>
      <c r="Q80" s="202">
        <f t="shared" si="0"/>
        <v>0</v>
      </c>
      <c r="R80" s="199">
        <f>SUMIF('BL-3'!$C$21:$L$21,"*",'IAT-3'!F80:O80)</f>
        <v>0</v>
      </c>
      <c r="S80" s="200">
        <f t="shared" si="1"/>
        <v>0</v>
      </c>
      <c r="T80" s="197">
        <f>SUMIF('BL-3'!$C$22:$L$22,"*",'IAT-3'!F80:O80)</f>
        <v>0</v>
      </c>
      <c r="U80" s="198">
        <f t="shared" si="2"/>
        <v>0</v>
      </c>
      <c r="V80" s="100">
        <f>SUMIF('BL-3'!$C$23:$L$23,"*",'IAT-3'!F80:O80)</f>
        <v>0</v>
      </c>
      <c r="W80" s="96">
        <f t="shared" si="3"/>
        <v>0</v>
      </c>
      <c r="X80" s="203">
        <f>SUMIF('BL-3'!$C$24:$L$24,"*",'IAT-3'!F80:O80)</f>
        <v>0</v>
      </c>
      <c r="Y80" s="97">
        <f t="shared" si="4"/>
        <v>0</v>
      </c>
      <c r="Z80" s="4">
        <f t="shared" si="5"/>
        <v>0</v>
      </c>
      <c r="AA80" s="4">
        <f t="shared" si="6"/>
        <v>0</v>
      </c>
    </row>
    <row r="81" spans="2:27" x14ac:dyDescent="0.25">
      <c r="B81" s="2">
        <v>56</v>
      </c>
      <c r="C81" s="120">
        <f>'IAT-1'!C79</f>
        <v>951323243057</v>
      </c>
      <c r="D81" s="119" t="str">
        <f>'IAT-1'!D79</f>
        <v>VANITHA L</v>
      </c>
      <c r="E81" s="27"/>
      <c r="F81" s="114">
        <f>'I3'!D70</f>
        <v>0</v>
      </c>
      <c r="G81" s="115">
        <f>'I3'!E70</f>
        <v>0</v>
      </c>
      <c r="H81" s="114">
        <f>'I3'!F70</f>
        <v>0</v>
      </c>
      <c r="I81" s="115">
        <f>'I3'!G70</f>
        <v>0</v>
      </c>
      <c r="J81" s="114">
        <f>'I3'!H70</f>
        <v>0</v>
      </c>
      <c r="K81" s="115">
        <f>'I3'!I70</f>
        <v>0</v>
      </c>
      <c r="L81" s="114">
        <f>'I3'!J70</f>
        <v>0</v>
      </c>
      <c r="M81" s="115">
        <f>'I3'!K70</f>
        <v>0</v>
      </c>
      <c r="N81" s="114">
        <f>'I3'!L70</f>
        <v>0</v>
      </c>
      <c r="O81" s="115">
        <f>'I3'!M70</f>
        <v>0</v>
      </c>
      <c r="P81" s="201">
        <f>SUMIF('BL-3'!$C$20:$L$20,"*",'IAT-3'!F81:O81)</f>
        <v>0</v>
      </c>
      <c r="Q81" s="202">
        <f t="shared" si="0"/>
        <v>0</v>
      </c>
      <c r="R81" s="199">
        <f>SUMIF('BL-3'!$C$21:$L$21,"*",'IAT-3'!F81:O81)</f>
        <v>0</v>
      </c>
      <c r="S81" s="200">
        <f t="shared" si="1"/>
        <v>0</v>
      </c>
      <c r="T81" s="197">
        <f>SUMIF('BL-3'!$C$22:$L$22,"*",'IAT-3'!F81:O81)</f>
        <v>0</v>
      </c>
      <c r="U81" s="198">
        <f t="shared" si="2"/>
        <v>0</v>
      </c>
      <c r="V81" s="100">
        <f>SUMIF('BL-3'!$C$23:$L$23,"*",'IAT-3'!F81:O81)</f>
        <v>0</v>
      </c>
      <c r="W81" s="96">
        <f t="shared" si="3"/>
        <v>0</v>
      </c>
      <c r="X81" s="203">
        <f>SUMIF('BL-3'!$C$24:$L$24,"*",'IAT-3'!F81:O81)</f>
        <v>0</v>
      </c>
      <c r="Y81" s="97">
        <f t="shared" si="4"/>
        <v>0</v>
      </c>
      <c r="Z81" s="4">
        <f t="shared" si="5"/>
        <v>0</v>
      </c>
      <c r="AA81" s="4">
        <f t="shared" si="6"/>
        <v>0</v>
      </c>
    </row>
    <row r="82" spans="2:27" x14ac:dyDescent="0.25">
      <c r="B82" s="2">
        <v>57</v>
      </c>
      <c r="C82" s="120">
        <f>'IAT-1'!C80</f>
        <v>951323243058</v>
      </c>
      <c r="D82" s="119" t="str">
        <f>'IAT-1'!D80</f>
        <v>VICTOR ROBINSON</v>
      </c>
      <c r="E82" s="27"/>
      <c r="F82" s="114">
        <f>'I3'!D71</f>
        <v>0</v>
      </c>
      <c r="G82" s="115">
        <f>'I3'!E71</f>
        <v>0</v>
      </c>
      <c r="H82" s="114">
        <f>'I3'!F71</f>
        <v>0</v>
      </c>
      <c r="I82" s="115">
        <f>'I3'!G71</f>
        <v>0</v>
      </c>
      <c r="J82" s="114">
        <f>'I3'!H71</f>
        <v>0</v>
      </c>
      <c r="K82" s="115">
        <f>'I3'!I71</f>
        <v>0</v>
      </c>
      <c r="L82" s="114">
        <f>'I3'!J71</f>
        <v>0</v>
      </c>
      <c r="M82" s="115">
        <f>'I3'!K71</f>
        <v>0</v>
      </c>
      <c r="N82" s="114">
        <f>'I3'!L71</f>
        <v>0</v>
      </c>
      <c r="O82" s="115">
        <f>'I3'!M71</f>
        <v>0</v>
      </c>
      <c r="P82" s="201">
        <f>SUMIF('BL-3'!$C$20:$L$20,"*",'IAT-3'!F82:O82)</f>
        <v>0</v>
      </c>
      <c r="Q82" s="202">
        <f t="shared" si="0"/>
        <v>0</v>
      </c>
      <c r="R82" s="199">
        <f>SUMIF('BL-3'!$C$21:$L$21,"*",'IAT-3'!F82:O82)</f>
        <v>0</v>
      </c>
      <c r="S82" s="200">
        <f t="shared" si="1"/>
        <v>0</v>
      </c>
      <c r="T82" s="197">
        <f>SUMIF('BL-3'!$C$22:$L$22,"*",'IAT-3'!F82:O82)</f>
        <v>0</v>
      </c>
      <c r="U82" s="198">
        <f t="shared" si="2"/>
        <v>0</v>
      </c>
      <c r="V82" s="100">
        <f>SUMIF('BL-3'!$C$23:$L$23,"*",'IAT-3'!F82:O82)</f>
        <v>0</v>
      </c>
      <c r="W82" s="96">
        <f t="shared" si="3"/>
        <v>0</v>
      </c>
      <c r="X82" s="203">
        <f>SUMIF('BL-3'!$C$24:$L$24,"*",'IAT-3'!F82:O82)</f>
        <v>0</v>
      </c>
      <c r="Y82" s="97">
        <f t="shared" si="4"/>
        <v>0</v>
      </c>
      <c r="Z82" s="4">
        <f t="shared" si="5"/>
        <v>0</v>
      </c>
      <c r="AA82" s="4">
        <f t="shared" si="6"/>
        <v>0</v>
      </c>
    </row>
    <row r="83" spans="2:27" x14ac:dyDescent="0.25">
      <c r="B83" s="2">
        <v>58</v>
      </c>
      <c r="C83" s="120">
        <f>'IAT-1'!C81</f>
        <v>951323243059</v>
      </c>
      <c r="D83" s="119" t="str">
        <f>'IAT-1'!D81</f>
        <v>VIJAYAPRAKASH S</v>
      </c>
      <c r="E83" s="27"/>
      <c r="F83" s="114">
        <f>'I3'!D72</f>
        <v>0</v>
      </c>
      <c r="G83" s="115">
        <f>'I3'!E72</f>
        <v>0</v>
      </c>
      <c r="H83" s="114">
        <f>'I3'!F72</f>
        <v>0</v>
      </c>
      <c r="I83" s="115">
        <f>'I3'!G72</f>
        <v>0</v>
      </c>
      <c r="J83" s="114">
        <f>'I3'!H72</f>
        <v>0</v>
      </c>
      <c r="K83" s="115">
        <f>'I3'!I72</f>
        <v>0</v>
      </c>
      <c r="L83" s="114">
        <f>'I3'!J72</f>
        <v>0</v>
      </c>
      <c r="M83" s="115">
        <f>'I3'!K72</f>
        <v>0</v>
      </c>
      <c r="N83" s="114">
        <f>'I3'!L72</f>
        <v>0</v>
      </c>
      <c r="O83" s="115">
        <f>'I3'!M72</f>
        <v>0</v>
      </c>
      <c r="P83" s="201">
        <f>SUMIF('BL-3'!$C$20:$L$20,"*",'IAT-3'!F83:O83)</f>
        <v>0</v>
      </c>
      <c r="Q83" s="202">
        <f t="shared" si="0"/>
        <v>0</v>
      </c>
      <c r="R83" s="199">
        <f>SUMIF('BL-3'!$C$21:$L$21,"*",'IAT-3'!F83:O83)</f>
        <v>0</v>
      </c>
      <c r="S83" s="200">
        <f t="shared" si="1"/>
        <v>0</v>
      </c>
      <c r="T83" s="197">
        <f>SUMIF('BL-3'!$C$22:$L$22,"*",'IAT-3'!F83:O83)</f>
        <v>0</v>
      </c>
      <c r="U83" s="198">
        <f t="shared" si="2"/>
        <v>0</v>
      </c>
      <c r="V83" s="100">
        <f>SUMIF('BL-3'!$C$23:$L$23,"*",'IAT-3'!F83:O83)</f>
        <v>0</v>
      </c>
      <c r="W83" s="96">
        <f t="shared" si="3"/>
        <v>0</v>
      </c>
      <c r="X83" s="203">
        <f>SUMIF('BL-3'!$C$24:$L$24,"*",'IAT-3'!F83:O83)</f>
        <v>0</v>
      </c>
      <c r="Y83" s="97">
        <f t="shared" si="4"/>
        <v>0</v>
      </c>
      <c r="Z83" s="4">
        <f t="shared" si="5"/>
        <v>0</v>
      </c>
      <c r="AA83" s="4">
        <f t="shared" si="6"/>
        <v>0</v>
      </c>
    </row>
    <row r="84" spans="2:27" x14ac:dyDescent="0.25">
      <c r="B84" s="2">
        <v>59</v>
      </c>
      <c r="C84" s="120">
        <f>'IAT-1'!C82</f>
        <v>951323243060</v>
      </c>
      <c r="D84" s="119" t="str">
        <f>'IAT-1'!D82</f>
        <v>VIJITHA BLESSY V</v>
      </c>
      <c r="E84" s="27"/>
      <c r="F84" s="114">
        <f>'I3'!D73</f>
        <v>0</v>
      </c>
      <c r="G84" s="115">
        <f>'I3'!E73</f>
        <v>0</v>
      </c>
      <c r="H84" s="114">
        <f>'I3'!F73</f>
        <v>0</v>
      </c>
      <c r="I84" s="115">
        <f>'I3'!G73</f>
        <v>0</v>
      </c>
      <c r="J84" s="114">
        <f>'I3'!H73</f>
        <v>0</v>
      </c>
      <c r="K84" s="115">
        <f>'I3'!I73</f>
        <v>0</v>
      </c>
      <c r="L84" s="114">
        <f>'I3'!J73</f>
        <v>0</v>
      </c>
      <c r="M84" s="115">
        <f>'I3'!K73</f>
        <v>0</v>
      </c>
      <c r="N84" s="114">
        <f>'I3'!L73</f>
        <v>0</v>
      </c>
      <c r="O84" s="115">
        <f>'I3'!M73</f>
        <v>0</v>
      </c>
      <c r="P84" s="201">
        <f>SUMIF('BL-3'!$C$20:$L$20,"*",'IAT-3'!F84:O84)</f>
        <v>0</v>
      </c>
      <c r="Q84" s="202">
        <f t="shared" si="0"/>
        <v>0</v>
      </c>
      <c r="R84" s="199">
        <f>SUMIF('BL-3'!$C$21:$L$21,"*",'IAT-3'!F84:O84)</f>
        <v>0</v>
      </c>
      <c r="S84" s="200">
        <f t="shared" si="1"/>
        <v>0</v>
      </c>
      <c r="T84" s="197">
        <f>SUMIF('BL-3'!$C$22:$L$22,"*",'IAT-3'!F84:O84)</f>
        <v>0</v>
      </c>
      <c r="U84" s="198">
        <f t="shared" si="2"/>
        <v>0</v>
      </c>
      <c r="V84" s="100">
        <f>SUMIF('BL-3'!$C$23:$L$23,"*",'IAT-3'!F84:O84)</f>
        <v>0</v>
      </c>
      <c r="W84" s="96">
        <f t="shared" si="3"/>
        <v>0</v>
      </c>
      <c r="X84" s="203">
        <f>SUMIF('BL-3'!$C$24:$L$24,"*",'IAT-3'!F84:O84)</f>
        <v>0</v>
      </c>
      <c r="Y84" s="97">
        <f t="shared" si="4"/>
        <v>0</v>
      </c>
      <c r="Z84" s="4">
        <f t="shared" si="5"/>
        <v>0</v>
      </c>
      <c r="AA84" s="4">
        <f t="shared" si="6"/>
        <v>0</v>
      </c>
    </row>
    <row r="85" spans="2:27" ht="15.75" x14ac:dyDescent="0.25">
      <c r="B85" s="401" t="s">
        <v>153</v>
      </c>
      <c r="C85" s="401"/>
      <c r="D85" s="401"/>
      <c r="E85" s="401"/>
      <c r="F85" s="401"/>
      <c r="G85" s="401"/>
      <c r="H85" s="401"/>
      <c r="I85" s="401"/>
      <c r="J85" s="401"/>
      <c r="K85" s="401"/>
      <c r="L85" s="401"/>
      <c r="M85" s="401"/>
      <c r="N85" s="401"/>
      <c r="O85" s="401"/>
      <c r="P85" s="54"/>
      <c r="Q85" s="54">
        <f>COUNTIF(Q26:Q84,"&gt;=50")</f>
        <v>0</v>
      </c>
      <c r="R85" s="54"/>
      <c r="S85" s="54">
        <f>COUNTIF(S26:S84,"&gt;=50")</f>
        <v>0</v>
      </c>
      <c r="T85" s="54"/>
      <c r="U85" s="54">
        <f>COUNTIF(U26:U84,"&gt;=50")</f>
        <v>0</v>
      </c>
      <c r="V85" s="54"/>
      <c r="W85" s="54">
        <f>COUNTIF(W26:W84,"&gt;=50")</f>
        <v>0</v>
      </c>
      <c r="X85" s="101"/>
      <c r="Y85" s="101">
        <f>COUNTIF(Y26:Y84,"&gt;=50")</f>
        <v>0</v>
      </c>
      <c r="Z85" s="101"/>
      <c r="AA85" s="101">
        <f>COUNTIF(AA26:AA84,"&gt;=50")</f>
        <v>0</v>
      </c>
    </row>
    <row r="86" spans="2:27" ht="15.75" x14ac:dyDescent="0.25">
      <c r="B86" s="401" t="s">
        <v>154</v>
      </c>
      <c r="C86" s="401"/>
      <c r="D86" s="401"/>
      <c r="E86" s="401"/>
      <c r="F86" s="401"/>
      <c r="G86" s="401"/>
      <c r="H86" s="401"/>
      <c r="I86" s="401"/>
      <c r="J86" s="401"/>
      <c r="K86" s="401"/>
      <c r="L86" s="401"/>
      <c r="M86" s="401"/>
      <c r="N86" s="401"/>
      <c r="O86" s="401"/>
      <c r="P86" s="54"/>
      <c r="Q86" s="54">
        <f>ROUND(IFERROR(Q85/$Z$9,0)*100,1)</f>
        <v>0</v>
      </c>
      <c r="R86" s="54"/>
      <c r="S86" s="54">
        <f>ROUND(IFERROR(S85/$Z$9,0)*100,1)</f>
        <v>0</v>
      </c>
      <c r="T86" s="54"/>
      <c r="U86" s="54">
        <f>ROUND(IFERROR(U85/$Z$9,0)*100,1)</f>
        <v>0</v>
      </c>
      <c r="V86" s="54"/>
      <c r="W86" s="54">
        <f>ROUND(IFERROR(W85/$Z$9,0)*100,1)</f>
        <v>0</v>
      </c>
      <c r="X86" s="101"/>
      <c r="Y86" s="101">
        <f>ROUND(IFERROR(Y85/$Z$9,0)*100,1)</f>
        <v>0</v>
      </c>
      <c r="Z86" s="101"/>
      <c r="AA86" s="101">
        <f>ROUND(IFERROR(AA85/$Z$9,0)*100,1)</f>
        <v>0</v>
      </c>
    </row>
    <row r="87" spans="2:27" ht="15.75" x14ac:dyDescent="0.25">
      <c r="B87" s="401" t="s">
        <v>32</v>
      </c>
      <c r="C87" s="401"/>
      <c r="D87" s="401"/>
      <c r="E87" s="401"/>
      <c r="F87" s="401"/>
      <c r="G87" s="401"/>
      <c r="H87" s="401"/>
      <c r="I87" s="401"/>
      <c r="J87" s="401"/>
      <c r="K87" s="401"/>
      <c r="L87" s="401"/>
      <c r="M87" s="401"/>
      <c r="N87" s="401"/>
      <c r="O87" s="401"/>
      <c r="P87" s="54"/>
      <c r="Q87" s="54">
        <f>IF(Q86&gt;=60,3,IF(Q86&gt;=50,2,IF(Q86&gt;=40,1,0)))</f>
        <v>0</v>
      </c>
      <c r="R87" s="54"/>
      <c r="S87" s="54">
        <f>IF(S86&gt;=60,3,IF(S86&gt;=50,2,IF(S86&gt;=40,1,0)))</f>
        <v>0</v>
      </c>
      <c r="T87" s="54"/>
      <c r="U87" s="54">
        <f>IF(U86&gt;=60,3,IF(U86&gt;=50,2,IF(U86&gt;=40,1,0)))</f>
        <v>0</v>
      </c>
      <c r="V87" s="54"/>
      <c r="W87" s="54">
        <f>IF(W86&gt;=60,3,IF(W86&gt;=50,2,IF(W86&gt;=40,1,0)))</f>
        <v>0</v>
      </c>
      <c r="X87" s="101"/>
      <c r="Y87" s="54">
        <f>IF(Y86&gt;=60,3,IF(Y86&gt;=50,2,IF(Y86&gt;=40,1,0)))</f>
        <v>0</v>
      </c>
      <c r="Z87" s="101"/>
      <c r="AA87" s="54">
        <f>IF(AA86&gt;=60,3,IF(AA86&gt;=50,2,IF(AA86&gt;=40,1,0)))</f>
        <v>0</v>
      </c>
    </row>
  </sheetData>
  <mergeCells count="32">
    <mergeCell ref="P20:Q24"/>
    <mergeCell ref="T20:U24"/>
    <mergeCell ref="V20:W24"/>
    <mergeCell ref="L16:AE16"/>
    <mergeCell ref="S17:X17"/>
    <mergeCell ref="Y17:AA17"/>
    <mergeCell ref="AB17:AC17"/>
    <mergeCell ref="AD17:AE17"/>
    <mergeCell ref="Z20:AA24"/>
    <mergeCell ref="B85:O85"/>
    <mergeCell ref="B86:O86"/>
    <mergeCell ref="B87:O87"/>
    <mergeCell ref="X11:AB11"/>
    <mergeCell ref="O12:S12"/>
    <mergeCell ref="O13:S13"/>
    <mergeCell ref="O14:S14"/>
    <mergeCell ref="I16:J16"/>
    <mergeCell ref="K20:O20"/>
    <mergeCell ref="R20:S24"/>
    <mergeCell ref="O11:S11"/>
    <mergeCell ref="I17:J17"/>
    <mergeCell ref="X20:Y24"/>
    <mergeCell ref="F20:J20"/>
    <mergeCell ref="R19:Y19"/>
    <mergeCell ref="D18:O18"/>
    <mergeCell ref="G9:H9"/>
    <mergeCell ref="N9:T9"/>
    <mergeCell ref="E19:F19"/>
    <mergeCell ref="G19:H19"/>
    <mergeCell ref="I19:J19"/>
    <mergeCell ref="K19:L19"/>
    <mergeCell ref="M19:O19"/>
  </mergeCells>
  <pageMargins left="0.7" right="0.7" top="0.75" bottom="0.75" header="0.3" footer="0.3"/>
  <pageSetup orientation="portrait" r:id="rId1"/>
  <ignoredErrors>
    <ignoredError sqref="V26 T26" 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87"/>
  <sheetViews>
    <sheetView topLeftCell="A62" zoomScale="86" zoomScaleNormal="86" workbookViewId="0">
      <selection activeCell="O18" sqref="O18"/>
    </sheetView>
  </sheetViews>
  <sheetFormatPr defaultRowHeight="15" x14ac:dyDescent="0.25"/>
  <cols>
    <col min="1" max="1" width="10.85546875" customWidth="1"/>
    <col min="3" max="3" width="15.85546875" customWidth="1"/>
    <col min="4" max="4" width="31.28515625" customWidth="1"/>
    <col min="5" max="5" width="8.85546875" customWidth="1"/>
    <col min="6" max="6" width="9.42578125" customWidth="1"/>
    <col min="8" max="8" width="9.42578125" customWidth="1"/>
    <col min="11" max="11" width="10.28515625" customWidth="1"/>
    <col min="12" max="12" width="9.42578125" customWidth="1"/>
    <col min="13" max="14" width="10.28515625" customWidth="1"/>
    <col min="15" max="15" width="9.42578125" customWidth="1"/>
    <col min="17" max="17" width="11.7109375" customWidth="1"/>
    <col min="18" max="18" width="11" customWidth="1"/>
    <col min="19" max="19" width="11.140625" customWidth="1"/>
    <col min="20" max="20" width="12.42578125" customWidth="1"/>
    <col min="21" max="21" width="21.42578125" customWidth="1"/>
  </cols>
  <sheetData>
    <row r="1" spans="1:30" x14ac:dyDescent="0.25">
      <c r="B1" s="331" t="str">
        <f>'BL-1'!A1</f>
        <v>JAYARAJ ANNAPACKIAM C. S. I. COLLEGE OF ENGINEERING</v>
      </c>
      <c r="C1" s="331"/>
      <c r="D1" s="331"/>
      <c r="E1" s="331"/>
      <c r="F1" s="331"/>
      <c r="G1" s="331"/>
      <c r="H1" s="331"/>
      <c r="I1" s="331"/>
      <c r="J1" s="331"/>
      <c r="K1" s="331"/>
      <c r="L1" s="331"/>
      <c r="M1" s="331"/>
      <c r="N1" s="331"/>
      <c r="O1" s="331"/>
      <c r="P1" s="331"/>
      <c r="Q1" s="331"/>
      <c r="R1" s="331"/>
    </row>
    <row r="2" spans="1:30" x14ac:dyDescent="0.25">
      <c r="B2" s="331" t="str">
        <f>'BL-1'!A2</f>
        <v>(Approved by AICTE, New Delhi and Affiliated to Anna University)</v>
      </c>
      <c r="C2" s="331"/>
      <c r="D2" s="331"/>
      <c r="E2" s="331"/>
      <c r="F2" s="331"/>
      <c r="G2" s="331"/>
      <c r="H2" s="331"/>
      <c r="I2" s="331"/>
      <c r="J2" s="331"/>
      <c r="K2" s="331"/>
      <c r="L2" s="331"/>
      <c r="M2" s="331"/>
      <c r="N2" s="331"/>
      <c r="O2" s="331"/>
      <c r="P2" s="331"/>
      <c r="Q2" s="331"/>
      <c r="R2" s="331"/>
    </row>
    <row r="3" spans="1:30" x14ac:dyDescent="0.25">
      <c r="B3" s="331" t="str">
        <f>'BL-1'!A3</f>
        <v>MARGOSCHIS NAGAR, NAZARETH - 628 617</v>
      </c>
      <c r="C3" s="331"/>
      <c r="D3" s="331"/>
      <c r="E3" s="331"/>
      <c r="F3" s="331"/>
      <c r="G3" s="331"/>
      <c r="H3" s="331"/>
      <c r="I3" s="331"/>
      <c r="J3" s="331"/>
      <c r="K3" s="331"/>
      <c r="L3" s="331"/>
      <c r="M3" s="331"/>
      <c r="N3" s="331"/>
      <c r="O3" s="331"/>
      <c r="P3" s="331"/>
      <c r="Q3" s="331"/>
      <c r="R3" s="331"/>
    </row>
    <row r="4" spans="1:30" x14ac:dyDescent="0.25">
      <c r="B4" s="331" t="str">
        <f>'BL-1'!A4</f>
        <v>DEPARTMENT OF ARTIFICIAL INTELLIGENCE AND DATA SCIENCE</v>
      </c>
      <c r="C4" s="331"/>
      <c r="D4" s="331"/>
      <c r="E4" s="331"/>
      <c r="F4" s="331"/>
      <c r="G4" s="331"/>
      <c r="H4" s="331"/>
      <c r="I4" s="331"/>
      <c r="J4" s="331"/>
      <c r="K4" s="331"/>
      <c r="L4" s="331"/>
      <c r="M4" s="331"/>
      <c r="N4" s="331"/>
      <c r="O4" s="331"/>
      <c r="P4" s="331"/>
      <c r="Q4" s="331"/>
      <c r="R4" s="331"/>
    </row>
    <row r="5" spans="1:30" x14ac:dyDescent="0.25">
      <c r="B5" s="331" t="s">
        <v>146</v>
      </c>
      <c r="C5" s="331"/>
      <c r="D5" s="331"/>
      <c r="E5" s="331"/>
      <c r="F5" s="331"/>
      <c r="G5" s="331"/>
      <c r="H5" s="331"/>
      <c r="I5" s="331"/>
      <c r="J5" s="331"/>
      <c r="K5" s="331"/>
      <c r="L5" s="331"/>
      <c r="M5" s="331"/>
      <c r="N5" s="331"/>
      <c r="O5" s="331"/>
      <c r="P5" s="331"/>
      <c r="Q5" s="331"/>
      <c r="R5" s="331"/>
    </row>
    <row r="6" spans="1:30" x14ac:dyDescent="0.25">
      <c r="B6" s="331" t="s">
        <v>36</v>
      </c>
      <c r="C6" s="331"/>
      <c r="D6" s="331"/>
      <c r="E6" s="331"/>
      <c r="F6" s="331"/>
      <c r="G6" s="331"/>
      <c r="H6" s="331"/>
      <c r="I6" s="331"/>
      <c r="J6" s="331"/>
      <c r="K6" s="331"/>
      <c r="L6" s="331"/>
      <c r="M6" s="331"/>
      <c r="N6" s="331"/>
      <c r="O6" s="331"/>
      <c r="P6" s="331"/>
      <c r="Q6" s="331"/>
      <c r="R6" s="331"/>
    </row>
    <row r="7" spans="1:30" x14ac:dyDescent="0.25">
      <c r="B7" s="331" t="s">
        <v>331</v>
      </c>
      <c r="C7" s="331"/>
      <c r="D7" s="331"/>
      <c r="E7" s="331"/>
      <c r="F7" s="331"/>
      <c r="G7" s="331"/>
      <c r="H7" s="331"/>
      <c r="I7" s="331"/>
      <c r="J7" s="331"/>
      <c r="K7" s="331"/>
      <c r="L7" s="331"/>
      <c r="M7" s="331"/>
      <c r="N7" s="331"/>
      <c r="O7" s="331"/>
      <c r="P7" s="331"/>
      <c r="Q7" s="331"/>
      <c r="R7" s="331"/>
    </row>
    <row r="8" spans="1:30" ht="15.75" x14ac:dyDescent="0.25">
      <c r="A8" s="10" t="str">
        <f>'BL-1'!A8:H8</f>
        <v>COURSE CODE / NAME: CW3551 DATA AND INFORMATION SECURITY</v>
      </c>
      <c r="B8" s="11"/>
      <c r="C8" s="11"/>
      <c r="D8" s="11"/>
      <c r="E8" s="11"/>
      <c r="F8" s="11"/>
      <c r="G8" s="11" t="str">
        <f>'BL-1'!I9</f>
        <v>CLASS  : III ADS</v>
      </c>
      <c r="H8" s="11"/>
      <c r="J8" s="11"/>
      <c r="K8" s="11" t="str">
        <f>'BL-1'!I8</f>
        <v>BATCH: 2023-2027</v>
      </c>
      <c r="L8" s="11"/>
      <c r="O8" s="11" t="str">
        <f>'BL-1'!M8</f>
        <v>SEM:05</v>
      </c>
      <c r="R8" s="11" t="str">
        <f>'BL-1'!M8</f>
        <v>SEM:05</v>
      </c>
      <c r="W8" s="22"/>
      <c r="X8" s="22"/>
    </row>
    <row r="9" spans="1:30" ht="15.75" x14ac:dyDescent="0.25">
      <c r="A9" s="10" t="str">
        <f>'BL-1'!A9:H9</f>
        <v>COURSE INSTRUCTOR/DESIGNATION: G. ALISHA EVANGELINE,AP/ADS</v>
      </c>
      <c r="B9" s="11"/>
      <c r="C9" s="11"/>
      <c r="D9" s="11"/>
      <c r="F9" s="10" t="str">
        <f>'BL-1'!M9</f>
        <v>DATE:</v>
      </c>
      <c r="G9" s="400">
        <f>'IAT-2'!G9:H9</f>
        <v>45758</v>
      </c>
      <c r="H9" s="400"/>
      <c r="I9" s="124"/>
      <c r="J9" s="11" t="str">
        <f>'BL-1'!O9</f>
        <v>TIME:</v>
      </c>
      <c r="K9" s="123" t="s">
        <v>161</v>
      </c>
      <c r="L9" s="11"/>
      <c r="M9" s="92"/>
      <c r="N9" s="408" t="s">
        <v>144</v>
      </c>
      <c r="O9" s="408"/>
      <c r="P9" s="88">
        <f>'IAT-1'!$Z$9</f>
        <v>57</v>
      </c>
      <c r="Q9" s="204" t="s">
        <v>144</v>
      </c>
      <c r="R9" s="204"/>
      <c r="S9" s="204"/>
      <c r="T9" s="204"/>
      <c r="U9" s="204">
        <f>'IAT-1'!Z9</f>
        <v>57</v>
      </c>
      <c r="V9" s="88"/>
      <c r="W9" s="22"/>
      <c r="X9" s="22"/>
    </row>
    <row r="10" spans="1:30" ht="15.75" x14ac:dyDescent="0.25">
      <c r="A10" s="9"/>
      <c r="B10" s="8"/>
      <c r="C10" s="8"/>
      <c r="D10" s="8"/>
      <c r="E10" s="8"/>
      <c r="F10" s="8"/>
      <c r="G10" s="8"/>
      <c r="H10" s="8"/>
      <c r="I10" s="8"/>
      <c r="J10" s="8"/>
      <c r="K10" s="8"/>
      <c r="L10" s="8"/>
      <c r="M10" s="8"/>
      <c r="N10" s="8"/>
      <c r="O10" s="8"/>
      <c r="Z10" s="22"/>
      <c r="AA10" s="22"/>
      <c r="AB10" s="23"/>
      <c r="AC10" s="451"/>
      <c r="AD10" s="451"/>
    </row>
    <row r="11" spans="1:30" ht="33" customHeight="1" x14ac:dyDescent="0.25">
      <c r="A11" s="9" t="s">
        <v>9</v>
      </c>
      <c r="B11" s="8"/>
      <c r="C11" s="8"/>
      <c r="F11" s="1"/>
      <c r="G11" s="1"/>
      <c r="H11" s="1"/>
      <c r="I11" s="1"/>
      <c r="J11" s="1"/>
      <c r="L11" s="404" t="s">
        <v>67</v>
      </c>
      <c r="M11" s="405"/>
      <c r="N11" s="207"/>
      <c r="O11" s="194"/>
      <c r="P11" s="15"/>
      <c r="Q11" s="41" t="s">
        <v>11</v>
      </c>
      <c r="R11" s="41"/>
      <c r="S11" s="373"/>
      <c r="T11" s="374"/>
      <c r="U11" s="32" t="s">
        <v>32</v>
      </c>
      <c r="V11" s="39"/>
      <c r="W11" s="24"/>
      <c r="X11" s="24"/>
      <c r="Y11" s="24"/>
      <c r="Z11" s="24"/>
      <c r="AA11" s="24"/>
      <c r="AB11" s="19"/>
      <c r="AC11" s="28"/>
      <c r="AD11" s="28"/>
    </row>
    <row r="12" spans="1:30" ht="15.75" x14ac:dyDescent="0.25">
      <c r="A12" s="12" t="str">
        <f>'BL-1'!A12</f>
        <v>CO 1</v>
      </c>
      <c r="B12" s="116" t="str">
        <f>'BL-1'!B12</f>
        <v>Understand the basics of data and information security</v>
      </c>
      <c r="C12" s="1"/>
      <c r="D12" s="1"/>
      <c r="E12" s="1"/>
      <c r="F12" s="1"/>
      <c r="G12" s="1"/>
      <c r="H12" s="1"/>
      <c r="I12" s="1"/>
      <c r="J12" s="1"/>
      <c r="K12" s="1"/>
      <c r="L12" s="406">
        <v>1</v>
      </c>
      <c r="M12" s="407"/>
      <c r="N12" s="208"/>
      <c r="O12" s="170"/>
      <c r="P12" s="16"/>
      <c r="Q12" s="16"/>
      <c r="R12" s="16"/>
      <c r="S12" s="16"/>
      <c r="T12" s="16"/>
      <c r="U12" s="26" t="s">
        <v>13</v>
      </c>
      <c r="V12" s="23"/>
      <c r="W12" s="23"/>
      <c r="X12" s="23"/>
      <c r="Y12" s="23"/>
      <c r="Z12" s="23"/>
      <c r="AA12" s="23"/>
      <c r="AB12" s="20"/>
    </row>
    <row r="13" spans="1:30" ht="15.75" x14ac:dyDescent="0.25">
      <c r="A13" s="12" t="str">
        <f>'BL-1'!A13</f>
        <v>CO 2</v>
      </c>
      <c r="B13" s="116" t="str">
        <f>'BL-1'!B13</f>
        <v>Understand the legal, ethical and professional issues in information security</v>
      </c>
      <c r="C13" s="1"/>
      <c r="D13" s="1"/>
      <c r="E13" s="1"/>
      <c r="F13" s="1"/>
      <c r="G13" s="1"/>
      <c r="H13" s="1"/>
      <c r="I13" s="1"/>
      <c r="J13" s="1"/>
      <c r="K13" s="1"/>
      <c r="L13" s="406">
        <v>2</v>
      </c>
      <c r="M13" s="407"/>
      <c r="N13" s="208"/>
      <c r="O13" s="170"/>
      <c r="P13" s="16"/>
      <c r="Q13" s="16"/>
      <c r="R13" s="16"/>
      <c r="S13" s="16"/>
      <c r="T13" s="16"/>
      <c r="U13" s="26" t="s">
        <v>15</v>
      </c>
      <c r="V13" s="23"/>
      <c r="W13" s="23"/>
      <c r="X13" s="23"/>
      <c r="Y13" s="23"/>
      <c r="Z13" s="23"/>
      <c r="AA13" s="23"/>
      <c r="AB13" s="20"/>
    </row>
    <row r="14" spans="1:30" ht="15.75" x14ac:dyDescent="0.25">
      <c r="A14" s="12" t="str">
        <f>'BL-1'!A14</f>
        <v>CO 3</v>
      </c>
      <c r="B14" s="116" t="str">
        <f>'BL-1'!B14</f>
        <v>Understand the various authentication schemes to simulate different applications</v>
      </c>
      <c r="C14" s="1"/>
      <c r="D14" s="1"/>
      <c r="L14" s="406">
        <v>3</v>
      </c>
      <c r="M14" s="407"/>
      <c r="N14" s="207"/>
      <c r="O14" s="170"/>
      <c r="P14" s="16"/>
      <c r="Q14" s="16"/>
      <c r="R14" s="16"/>
      <c r="S14" s="16"/>
      <c r="T14" s="16"/>
      <c r="U14" s="26" t="s">
        <v>17</v>
      </c>
      <c r="V14" s="23"/>
      <c r="W14" s="23"/>
      <c r="X14" s="23"/>
      <c r="Y14" s="23"/>
      <c r="Z14" s="23"/>
      <c r="AA14" s="23"/>
      <c r="AB14" s="20"/>
    </row>
    <row r="15" spans="1:30" ht="15.75" x14ac:dyDescent="0.25">
      <c r="A15" s="12" t="str">
        <f>'BL-1'!A15</f>
        <v>CO 4</v>
      </c>
      <c r="B15" s="116" t="str">
        <f>'BL-1'!B15</f>
        <v>Understand various security practices and system security standards</v>
      </c>
      <c r="C15" s="1"/>
      <c r="D15" s="1"/>
      <c r="E15" s="1"/>
      <c r="F15" s="1"/>
      <c r="G15" s="1"/>
      <c r="H15" s="1"/>
      <c r="I15" s="1"/>
      <c r="J15" s="1"/>
      <c r="K15" s="1"/>
      <c r="N15" s="1"/>
      <c r="U15" s="20"/>
      <c r="V15" s="20"/>
      <c r="W15" s="20"/>
      <c r="X15" s="21"/>
      <c r="Y15" s="21"/>
      <c r="Z15" s="21"/>
      <c r="AA15" s="21"/>
      <c r="AB15" s="21"/>
    </row>
    <row r="16" spans="1:30" ht="15.75" x14ac:dyDescent="0.25">
      <c r="A16" s="12" t="str">
        <f>'BL-1'!A16</f>
        <v>CO 5</v>
      </c>
      <c r="B16" s="116" t="str">
        <f>'BL-1'!B16</f>
        <v>Understand the web security protocols for E-commerce applications</v>
      </c>
      <c r="C16" s="1"/>
      <c r="D16" s="1"/>
      <c r="K16" s="1"/>
      <c r="M16" s="368"/>
      <c r="N16" s="368"/>
      <c r="O16" s="368"/>
      <c r="P16" s="368"/>
      <c r="Q16" s="368"/>
      <c r="R16" s="368"/>
      <c r="S16" s="368"/>
      <c r="T16" s="368"/>
    </row>
    <row r="17" spans="2:30" x14ac:dyDescent="0.25">
      <c r="M17" s="7"/>
      <c r="P17" s="7"/>
      <c r="Q17" s="7"/>
      <c r="R17" s="7"/>
      <c r="S17" s="7"/>
      <c r="T17" s="7"/>
    </row>
    <row r="19" spans="2:30" ht="15.75" customHeight="1" x14ac:dyDescent="0.25">
      <c r="B19" s="393" t="s">
        <v>6</v>
      </c>
      <c r="C19" s="393" t="s">
        <v>7</v>
      </c>
      <c r="D19" s="448" t="s">
        <v>8</v>
      </c>
      <c r="E19" s="444" t="s">
        <v>37</v>
      </c>
      <c r="F19" s="385" t="s">
        <v>27</v>
      </c>
      <c r="G19" s="442"/>
      <c r="H19" s="442"/>
      <c r="I19" s="442"/>
      <c r="J19" s="386"/>
      <c r="K19" s="385" t="s">
        <v>34</v>
      </c>
      <c r="L19" s="442"/>
      <c r="M19" s="442"/>
      <c r="N19" s="442"/>
      <c r="O19" s="386"/>
      <c r="P19" s="385" t="s">
        <v>38</v>
      </c>
      <c r="Q19" s="442"/>
      <c r="R19" s="442"/>
      <c r="S19" s="442"/>
      <c r="T19" s="386"/>
      <c r="U19" s="104"/>
      <c r="V19" s="447"/>
      <c r="W19" s="447"/>
      <c r="X19" s="447"/>
      <c r="Y19" s="447"/>
      <c r="Z19" s="447"/>
      <c r="AA19" s="447"/>
      <c r="AB19" s="452"/>
      <c r="AC19" s="452"/>
      <c r="AD19" s="452"/>
    </row>
    <row r="20" spans="2:30" ht="15.75" customHeight="1" x14ac:dyDescent="0.25">
      <c r="B20" s="394"/>
      <c r="C20" s="394"/>
      <c r="D20" s="449"/>
      <c r="E20" s="445"/>
      <c r="F20" s="389"/>
      <c r="G20" s="443"/>
      <c r="H20" s="443"/>
      <c r="I20" s="443"/>
      <c r="J20" s="390"/>
      <c r="K20" s="389"/>
      <c r="L20" s="443"/>
      <c r="M20" s="443"/>
      <c r="N20" s="443"/>
      <c r="O20" s="390"/>
      <c r="P20" s="389"/>
      <c r="Q20" s="443"/>
      <c r="R20" s="443"/>
      <c r="S20" s="443"/>
      <c r="T20" s="390"/>
      <c r="U20" s="104"/>
      <c r="V20" s="447"/>
      <c r="W20" s="447"/>
      <c r="X20" s="447"/>
      <c r="Y20" s="447"/>
      <c r="Z20" s="447"/>
      <c r="AA20" s="447"/>
      <c r="AB20" s="452"/>
      <c r="AC20" s="452"/>
      <c r="AD20" s="452"/>
    </row>
    <row r="21" spans="2:30" ht="15.75" customHeight="1" x14ac:dyDescent="0.25">
      <c r="B21" s="394"/>
      <c r="C21" s="394"/>
      <c r="D21" s="449"/>
      <c r="E21" s="444" t="s">
        <v>110</v>
      </c>
      <c r="F21" s="383" t="s">
        <v>186</v>
      </c>
      <c r="G21" s="383" t="s">
        <v>187</v>
      </c>
      <c r="H21" s="383" t="s">
        <v>188</v>
      </c>
      <c r="I21" s="383" t="s">
        <v>189</v>
      </c>
      <c r="J21" s="383" t="s">
        <v>190</v>
      </c>
      <c r="K21" s="383" t="s">
        <v>186</v>
      </c>
      <c r="L21" s="383" t="s">
        <v>187</v>
      </c>
      <c r="M21" s="383" t="s">
        <v>188</v>
      </c>
      <c r="N21" s="383" t="s">
        <v>189</v>
      </c>
      <c r="O21" s="383" t="s">
        <v>190</v>
      </c>
      <c r="P21" s="383" t="s">
        <v>186</v>
      </c>
      <c r="Q21" s="383" t="s">
        <v>187</v>
      </c>
      <c r="R21" s="383" t="s">
        <v>188</v>
      </c>
      <c r="S21" s="383" t="s">
        <v>189</v>
      </c>
      <c r="T21" s="383" t="s">
        <v>190</v>
      </c>
      <c r="U21" s="104"/>
      <c r="V21" s="447"/>
      <c r="W21" s="447"/>
      <c r="X21" s="447"/>
      <c r="Y21" s="447"/>
      <c r="Z21" s="447"/>
      <c r="AA21" s="447"/>
      <c r="AB21" s="452"/>
      <c r="AC21" s="452"/>
      <c r="AD21" s="452"/>
    </row>
    <row r="22" spans="2:30" ht="15.75" customHeight="1" x14ac:dyDescent="0.25">
      <c r="B22" s="394"/>
      <c r="C22" s="394"/>
      <c r="D22" s="449"/>
      <c r="E22" s="445"/>
      <c r="F22" s="384"/>
      <c r="G22" s="384"/>
      <c r="H22" s="384"/>
      <c r="I22" s="384"/>
      <c r="J22" s="384"/>
      <c r="K22" s="384"/>
      <c r="L22" s="384"/>
      <c r="M22" s="384"/>
      <c r="N22" s="384"/>
      <c r="O22" s="384"/>
      <c r="P22" s="384"/>
      <c r="Q22" s="384"/>
      <c r="R22" s="384"/>
      <c r="S22" s="384"/>
      <c r="T22" s="384"/>
      <c r="U22" s="104"/>
      <c r="V22" s="447"/>
      <c r="W22" s="447"/>
      <c r="X22" s="447"/>
      <c r="Y22" s="447"/>
      <c r="Z22" s="447"/>
      <c r="AA22" s="447"/>
      <c r="AB22" s="452"/>
      <c r="AC22" s="452"/>
      <c r="AD22" s="452"/>
    </row>
    <row r="23" spans="2:30" ht="15" customHeight="1" x14ac:dyDescent="0.25">
      <c r="B23" s="446"/>
      <c r="C23" s="446"/>
      <c r="D23" s="450"/>
      <c r="E23" s="55" t="s">
        <v>30</v>
      </c>
      <c r="F23" s="274">
        <f>'IAT-1'!Q25</f>
        <v>100</v>
      </c>
      <c r="G23" s="274">
        <f>'IAT-1'!S25</f>
        <v>100</v>
      </c>
      <c r="H23" s="274">
        <f>'IAT-1'!U25</f>
        <v>100</v>
      </c>
      <c r="I23" s="274">
        <f>'IAT-1'!W25</f>
        <v>100</v>
      </c>
      <c r="J23" s="274">
        <f>'IAT-1'!Y25</f>
        <v>100</v>
      </c>
      <c r="K23" s="274">
        <f>'IAT-2'!Q25</f>
        <v>100</v>
      </c>
      <c r="L23" s="274">
        <f>'IAT-2'!S25</f>
        <v>100</v>
      </c>
      <c r="M23" s="274">
        <f>'IAT-2'!U25</f>
        <v>100</v>
      </c>
      <c r="N23" s="274">
        <f>'IAT-2'!W25</f>
        <v>100</v>
      </c>
      <c r="O23" s="274">
        <f>'IAT-2'!Y25</f>
        <v>100</v>
      </c>
      <c r="P23" s="263">
        <f t="shared" ref="P23:P54" si="0">SUMIF(F24,"&gt;0",F23)+SUMIF(K24,"&gt;0",K23)</f>
        <v>100</v>
      </c>
      <c r="Q23" s="263">
        <f t="shared" ref="Q23:Q54" si="1">SUMIF(G24,"&gt;0",G23)+SUMIF(L24,"&gt;0",L23)</f>
        <v>100</v>
      </c>
      <c r="R23" s="263">
        <v>100</v>
      </c>
      <c r="S23" s="263">
        <f t="shared" ref="S23:S54" si="2">SUMIF(I24,"&gt;0",I23)+SUMIF(N24,"&gt;0",N23)</f>
        <v>100</v>
      </c>
      <c r="T23" s="263">
        <f t="shared" ref="T23:T54" si="3">SUMIF(J24,"&gt;0",J23)+SUMIF(O24,"&gt;0",O23)</f>
        <v>100</v>
      </c>
      <c r="U23" s="104"/>
      <c r="V23" s="447"/>
      <c r="W23" s="447"/>
      <c r="X23" s="447"/>
      <c r="Y23" s="447"/>
      <c r="Z23" s="447"/>
      <c r="AA23" s="447"/>
      <c r="AB23" s="72"/>
      <c r="AC23" s="72"/>
      <c r="AD23" s="72"/>
    </row>
    <row r="24" spans="2:30" ht="15.75" x14ac:dyDescent="0.25">
      <c r="B24" s="2">
        <v>1</v>
      </c>
      <c r="C24" s="120">
        <f>'IAT-1'!C26</f>
        <v>951323243001</v>
      </c>
      <c r="D24" s="119" t="str">
        <f>'IAT-1'!D26</f>
        <v>ABINAYA S</v>
      </c>
      <c r="E24" s="3"/>
      <c r="F24" s="274">
        <f>'IAT-1'!Q26</f>
        <v>100</v>
      </c>
      <c r="G24" s="274">
        <f>'IAT-1'!S26</f>
        <v>83.3</v>
      </c>
      <c r="H24" s="274">
        <f>'IAT-1'!U26</f>
        <v>11.1</v>
      </c>
      <c r="I24" s="274">
        <f>'IAT-1'!W26</f>
        <v>0</v>
      </c>
      <c r="J24" s="274">
        <f>'IAT-1'!Y26</f>
        <v>0</v>
      </c>
      <c r="K24" s="274">
        <f>'IAT-2'!Q26</f>
        <v>0</v>
      </c>
      <c r="L24" s="274">
        <f>'IAT-2'!S26</f>
        <v>0</v>
      </c>
      <c r="M24" s="274">
        <f>'IAT-2'!U26</f>
        <v>88.9</v>
      </c>
      <c r="N24" s="274">
        <f>'IAT-2'!W26</f>
        <v>33.299999999999997</v>
      </c>
      <c r="O24" s="274">
        <f>'IAT-2'!Y26</f>
        <v>52.2</v>
      </c>
      <c r="P24" s="263">
        <f t="shared" si="0"/>
        <v>100</v>
      </c>
      <c r="Q24" s="263">
        <f t="shared" si="1"/>
        <v>83.3</v>
      </c>
      <c r="R24" s="263">
        <f>AVERAGE(H24,M24)</f>
        <v>50</v>
      </c>
      <c r="S24" s="263">
        <f t="shared" si="2"/>
        <v>0</v>
      </c>
      <c r="T24" s="263">
        <f t="shared" si="3"/>
        <v>0</v>
      </c>
      <c r="U24" s="104"/>
      <c r="V24" s="5"/>
      <c r="W24" s="5"/>
      <c r="X24" s="5"/>
      <c r="Y24" s="5"/>
      <c r="Z24" s="5"/>
      <c r="AA24" s="5"/>
      <c r="AB24" s="5"/>
      <c r="AC24" s="5"/>
      <c r="AD24" s="5"/>
    </row>
    <row r="25" spans="2:30" ht="15.75" x14ac:dyDescent="0.25">
      <c r="B25" s="2">
        <v>2</v>
      </c>
      <c r="C25" s="120">
        <f>'IAT-1'!C27</f>
        <v>951323243002</v>
      </c>
      <c r="D25" s="119" t="str">
        <f>'IAT-1'!D27</f>
        <v>ABISHEK S</v>
      </c>
      <c r="E25" s="3"/>
      <c r="F25" s="274">
        <f>'IAT-1'!Q27</f>
        <v>69.599999999999994</v>
      </c>
      <c r="G25" s="274">
        <f>'IAT-1'!S27</f>
        <v>50</v>
      </c>
      <c r="H25" s="274">
        <f>'IAT-1'!U27</f>
        <v>88.9</v>
      </c>
      <c r="I25" s="274">
        <f>'IAT-1'!W27</f>
        <v>0</v>
      </c>
      <c r="J25" s="274">
        <f>'IAT-1'!Y27</f>
        <v>0</v>
      </c>
      <c r="K25" s="274">
        <f>'IAT-2'!Q27</f>
        <v>0</v>
      </c>
      <c r="L25" s="274">
        <f>'IAT-2'!S27</f>
        <v>0</v>
      </c>
      <c r="M25" s="274">
        <f>'IAT-2'!U27</f>
        <v>0</v>
      </c>
      <c r="N25" s="274">
        <f>'IAT-2'!W27</f>
        <v>0</v>
      </c>
      <c r="O25" s="274">
        <f>'IAT-2'!Y27</f>
        <v>0</v>
      </c>
      <c r="P25" s="263">
        <f t="shared" si="0"/>
        <v>69.599999999999994</v>
      </c>
      <c r="Q25" s="263">
        <f t="shared" si="1"/>
        <v>50</v>
      </c>
      <c r="R25" s="263">
        <f t="shared" ref="R25:R80" si="4">AVERAGE(H25,M25)</f>
        <v>44.45</v>
      </c>
      <c r="S25" s="263">
        <f t="shared" si="2"/>
        <v>0</v>
      </c>
      <c r="T25" s="263">
        <f t="shared" si="3"/>
        <v>0</v>
      </c>
      <c r="U25" s="104"/>
      <c r="V25" s="5"/>
      <c r="W25" s="5"/>
      <c r="X25" s="5"/>
      <c r="Y25" s="5"/>
      <c r="Z25" s="5"/>
      <c r="AA25" s="5"/>
      <c r="AB25" s="5"/>
      <c r="AC25" s="5"/>
      <c r="AD25" s="5"/>
    </row>
    <row r="26" spans="2:30" ht="15.75" x14ac:dyDescent="0.25">
      <c r="B26" s="2">
        <v>3</v>
      </c>
      <c r="C26" s="120">
        <f>'IAT-1'!C28</f>
        <v>951323243003</v>
      </c>
      <c r="D26" s="119" t="str">
        <f>'IAT-1'!D28</f>
        <v>AJEETHA S</v>
      </c>
      <c r="E26" s="3"/>
      <c r="F26" s="274">
        <f>'IAT-1'!Q28</f>
        <v>91.3</v>
      </c>
      <c r="G26" s="274">
        <f>'IAT-1'!S28</f>
        <v>100</v>
      </c>
      <c r="H26" s="274">
        <f>'IAT-1'!U28</f>
        <v>100</v>
      </c>
      <c r="I26" s="274">
        <f>'IAT-1'!W28</f>
        <v>0</v>
      </c>
      <c r="J26" s="274">
        <f>'IAT-1'!Y28</f>
        <v>0</v>
      </c>
      <c r="K26" s="274">
        <f>'IAT-2'!Q28</f>
        <v>0</v>
      </c>
      <c r="L26" s="274">
        <f>'IAT-2'!S28</f>
        <v>0</v>
      </c>
      <c r="M26" s="274">
        <f>'IAT-2'!U28</f>
        <v>0</v>
      </c>
      <c r="N26" s="274">
        <f>'IAT-2'!W28</f>
        <v>0</v>
      </c>
      <c r="O26" s="274">
        <f>'IAT-2'!Y28</f>
        <v>0</v>
      </c>
      <c r="P26" s="263">
        <f t="shared" si="0"/>
        <v>0</v>
      </c>
      <c r="Q26" s="263">
        <f t="shared" si="1"/>
        <v>0</v>
      </c>
      <c r="R26" s="263">
        <f t="shared" si="4"/>
        <v>50</v>
      </c>
      <c r="S26" s="263">
        <f t="shared" si="2"/>
        <v>0</v>
      </c>
      <c r="T26" s="263">
        <f t="shared" si="3"/>
        <v>0</v>
      </c>
      <c r="U26" s="104"/>
      <c r="V26" s="5"/>
      <c r="W26" s="5"/>
      <c r="X26" s="5"/>
      <c r="Y26" s="5"/>
      <c r="Z26" s="5"/>
      <c r="AA26" s="5"/>
      <c r="AB26" s="5"/>
      <c r="AC26" s="5"/>
      <c r="AD26" s="5"/>
    </row>
    <row r="27" spans="2:30" ht="15.75" x14ac:dyDescent="0.25">
      <c r="B27" s="2">
        <v>4</v>
      </c>
      <c r="C27" s="120">
        <f>'IAT-1'!C29</f>
        <v>951323243004</v>
      </c>
      <c r="D27" s="119" t="str">
        <f>'IAT-1'!D29</f>
        <v>AJIM FAYAZ K M S</v>
      </c>
      <c r="E27" s="3"/>
      <c r="F27" s="274">
        <f>'IAT-1'!Q29</f>
        <v>0</v>
      </c>
      <c r="G27" s="274">
        <f>'IAT-1'!S29</f>
        <v>0</v>
      </c>
      <c r="H27" s="274">
        <f>'IAT-1'!U29</f>
        <v>0</v>
      </c>
      <c r="I27" s="274">
        <f>'IAT-1'!W29</f>
        <v>0</v>
      </c>
      <c r="J27" s="274">
        <f>'IAT-1'!Y29</f>
        <v>0</v>
      </c>
      <c r="K27" s="274">
        <f>'IAT-2'!Q29</f>
        <v>0</v>
      </c>
      <c r="L27" s="274">
        <f>'IAT-2'!S29</f>
        <v>0</v>
      </c>
      <c r="M27" s="274">
        <f>'IAT-2'!U29</f>
        <v>22.2</v>
      </c>
      <c r="N27" s="274">
        <f>'IAT-2'!W29</f>
        <v>22.2</v>
      </c>
      <c r="O27" s="274">
        <f>'IAT-2'!Y29</f>
        <v>34.799999999999997</v>
      </c>
      <c r="P27" s="263">
        <f t="shared" si="0"/>
        <v>0</v>
      </c>
      <c r="Q27" s="263">
        <f t="shared" si="1"/>
        <v>0</v>
      </c>
      <c r="R27" s="263">
        <f t="shared" si="4"/>
        <v>11.1</v>
      </c>
      <c r="S27" s="263">
        <f t="shared" si="2"/>
        <v>22.2</v>
      </c>
      <c r="T27" s="263">
        <f t="shared" si="3"/>
        <v>34.799999999999997</v>
      </c>
      <c r="U27" s="104"/>
      <c r="V27" s="5"/>
      <c r="W27" s="5"/>
      <c r="X27" s="5"/>
      <c r="Y27" s="5"/>
      <c r="Z27" s="5"/>
      <c r="AA27" s="5"/>
      <c r="AB27" s="5"/>
      <c r="AC27" s="5"/>
      <c r="AD27" s="5"/>
    </row>
    <row r="28" spans="2:30" ht="15.75" x14ac:dyDescent="0.25">
      <c r="B28" s="2">
        <v>5</v>
      </c>
      <c r="C28" s="120">
        <f>'IAT-1'!C30</f>
        <v>951323243005</v>
      </c>
      <c r="D28" s="119" t="str">
        <f>'IAT-1'!D30</f>
        <v>ALPHONES CRUZ NAVEEN J</v>
      </c>
      <c r="E28" s="3"/>
      <c r="F28" s="274">
        <f>'IAT-1'!Q30</f>
        <v>13</v>
      </c>
      <c r="G28" s="274">
        <f>'IAT-1'!S30</f>
        <v>0</v>
      </c>
      <c r="H28" s="274">
        <f>'IAT-1'!U30</f>
        <v>0</v>
      </c>
      <c r="I28" s="274">
        <f>'IAT-1'!W30</f>
        <v>0</v>
      </c>
      <c r="J28" s="274">
        <f>'IAT-1'!Y30</f>
        <v>0</v>
      </c>
      <c r="K28" s="274">
        <f>'IAT-2'!Q30</f>
        <v>0</v>
      </c>
      <c r="L28" s="274">
        <f>'IAT-2'!S30</f>
        <v>0</v>
      </c>
      <c r="M28" s="274">
        <f>'IAT-2'!U30</f>
        <v>77.8</v>
      </c>
      <c r="N28" s="274">
        <f>'IAT-2'!W30</f>
        <v>22.2</v>
      </c>
      <c r="O28" s="274">
        <f>'IAT-2'!Y30</f>
        <v>13</v>
      </c>
      <c r="P28" s="263">
        <f t="shared" si="0"/>
        <v>13</v>
      </c>
      <c r="Q28" s="263">
        <f t="shared" si="1"/>
        <v>0</v>
      </c>
      <c r="R28" s="263">
        <f t="shared" si="4"/>
        <v>38.9</v>
      </c>
      <c r="S28" s="263">
        <f t="shared" si="2"/>
        <v>22.2</v>
      </c>
      <c r="T28" s="263">
        <f t="shared" si="3"/>
        <v>13</v>
      </c>
      <c r="U28" s="104"/>
      <c r="V28" s="5"/>
      <c r="W28" s="5"/>
      <c r="X28" s="5"/>
      <c r="Y28" s="5"/>
      <c r="Z28" s="5"/>
      <c r="AA28" s="5"/>
      <c r="AB28" s="5"/>
      <c r="AC28" s="5"/>
      <c r="AD28" s="5"/>
    </row>
    <row r="29" spans="2:30" ht="15.75" x14ac:dyDescent="0.25">
      <c r="B29" s="2">
        <v>6</v>
      </c>
      <c r="C29" s="120">
        <f>'IAT-1'!C31</f>
        <v>951323243006</v>
      </c>
      <c r="D29" s="119" t="str">
        <f>'IAT-1'!D31</f>
        <v>ANGEL AGNES D</v>
      </c>
      <c r="E29" s="3"/>
      <c r="F29" s="274">
        <f>'IAT-1'!Q31</f>
        <v>91.3</v>
      </c>
      <c r="G29" s="274">
        <f>'IAT-1'!S31</f>
        <v>100</v>
      </c>
      <c r="H29" s="274">
        <f>'IAT-1'!U31</f>
        <v>66.7</v>
      </c>
      <c r="I29" s="274">
        <f>'IAT-1'!W31</f>
        <v>0</v>
      </c>
      <c r="J29" s="274">
        <f>'IAT-1'!Y31</f>
        <v>0</v>
      </c>
      <c r="K29" s="274">
        <f>'IAT-2'!Q31</f>
        <v>0</v>
      </c>
      <c r="L29" s="274">
        <f>'IAT-2'!S31</f>
        <v>0</v>
      </c>
      <c r="M29" s="274">
        <f>'IAT-2'!U31</f>
        <v>100</v>
      </c>
      <c r="N29" s="274">
        <f>'IAT-2'!W31</f>
        <v>77.8</v>
      </c>
      <c r="O29" s="274">
        <f>'IAT-2'!Y31</f>
        <v>87</v>
      </c>
      <c r="P29" s="263">
        <f t="shared" si="0"/>
        <v>91.3</v>
      </c>
      <c r="Q29" s="263">
        <f t="shared" si="1"/>
        <v>100</v>
      </c>
      <c r="R29" s="263">
        <f t="shared" si="4"/>
        <v>83.35</v>
      </c>
      <c r="S29" s="263">
        <f t="shared" si="2"/>
        <v>77.8</v>
      </c>
      <c r="T29" s="263">
        <f t="shared" si="3"/>
        <v>87</v>
      </c>
      <c r="U29" s="104"/>
      <c r="V29" s="5"/>
      <c r="W29" s="5"/>
      <c r="X29" s="5"/>
      <c r="Y29" s="5"/>
      <c r="Z29" s="5"/>
      <c r="AA29" s="5"/>
      <c r="AB29" s="5"/>
      <c r="AC29" s="5"/>
      <c r="AD29" s="5"/>
    </row>
    <row r="30" spans="2:30" ht="15.75" x14ac:dyDescent="0.25">
      <c r="B30" s="2">
        <v>7</v>
      </c>
      <c r="C30" s="120">
        <f>'IAT-1'!C32</f>
        <v>951323243007</v>
      </c>
      <c r="D30" s="119" t="str">
        <f>'IAT-1'!D32</f>
        <v>ANUSHA P</v>
      </c>
      <c r="E30" s="3"/>
      <c r="F30" s="274">
        <f>'IAT-1'!Q32</f>
        <v>100</v>
      </c>
      <c r="G30" s="274">
        <f>'IAT-1'!S32</f>
        <v>100</v>
      </c>
      <c r="H30" s="274">
        <f>'IAT-1'!U32</f>
        <v>100</v>
      </c>
      <c r="I30" s="274">
        <f>'IAT-1'!W32</f>
        <v>0</v>
      </c>
      <c r="J30" s="274">
        <f>'IAT-1'!Y32</f>
        <v>0</v>
      </c>
      <c r="K30" s="274">
        <f>'IAT-2'!Q32</f>
        <v>0</v>
      </c>
      <c r="L30" s="274">
        <f>'IAT-2'!S32</f>
        <v>0</v>
      </c>
      <c r="M30" s="274">
        <f>'IAT-2'!U32</f>
        <v>100</v>
      </c>
      <c r="N30" s="274">
        <f>'IAT-2'!W32</f>
        <v>94.4</v>
      </c>
      <c r="O30" s="274">
        <f>'IAT-2'!Y32</f>
        <v>100</v>
      </c>
      <c r="P30" s="263">
        <f t="shared" si="0"/>
        <v>100</v>
      </c>
      <c r="Q30" s="263">
        <f t="shared" si="1"/>
        <v>100</v>
      </c>
      <c r="R30" s="263">
        <f t="shared" si="4"/>
        <v>100</v>
      </c>
      <c r="S30" s="263">
        <f t="shared" si="2"/>
        <v>94.4</v>
      </c>
      <c r="T30" s="263">
        <f t="shared" si="3"/>
        <v>100</v>
      </c>
      <c r="U30" s="104"/>
      <c r="V30" s="5"/>
      <c r="W30" s="5"/>
      <c r="X30" s="5"/>
      <c r="Y30" s="5"/>
      <c r="Z30" s="5"/>
      <c r="AA30" s="5"/>
      <c r="AB30" s="5"/>
      <c r="AC30" s="5"/>
      <c r="AD30" s="5"/>
    </row>
    <row r="31" spans="2:30" ht="15.75" x14ac:dyDescent="0.25">
      <c r="B31" s="2">
        <v>8</v>
      </c>
      <c r="C31" s="120">
        <f>'IAT-1'!C33</f>
        <v>951323243008</v>
      </c>
      <c r="D31" s="119" t="str">
        <f>'IAT-1'!D33</f>
        <v>ARIBA M</v>
      </c>
      <c r="E31" s="3"/>
      <c r="F31" s="274">
        <f>'IAT-1'!Q33</f>
        <v>69.599999999999994</v>
      </c>
      <c r="G31" s="274">
        <f>'IAT-1'!S33</f>
        <v>100</v>
      </c>
      <c r="H31" s="274">
        <f>'IAT-1'!U33</f>
        <v>88.9</v>
      </c>
      <c r="I31" s="274">
        <f>'IAT-1'!W33</f>
        <v>0</v>
      </c>
      <c r="J31" s="274">
        <f>'IAT-1'!Y33</f>
        <v>0</v>
      </c>
      <c r="K31" s="274">
        <f>'IAT-2'!Q33</f>
        <v>0</v>
      </c>
      <c r="L31" s="274">
        <f>'IAT-2'!S33</f>
        <v>0</v>
      </c>
      <c r="M31" s="274">
        <f>'IAT-2'!U33</f>
        <v>66.7</v>
      </c>
      <c r="N31" s="274">
        <f>'IAT-2'!W33</f>
        <v>38.9</v>
      </c>
      <c r="O31" s="274">
        <f>'IAT-2'!Y33</f>
        <v>91.3</v>
      </c>
      <c r="P31" s="263">
        <f t="shared" si="0"/>
        <v>69.599999999999994</v>
      </c>
      <c r="Q31" s="263">
        <f t="shared" si="1"/>
        <v>100</v>
      </c>
      <c r="R31" s="263">
        <f t="shared" si="4"/>
        <v>77.800000000000011</v>
      </c>
      <c r="S31" s="263">
        <f t="shared" si="2"/>
        <v>38.9</v>
      </c>
      <c r="T31" s="263">
        <f t="shared" si="3"/>
        <v>91.3</v>
      </c>
      <c r="U31" s="104"/>
      <c r="V31" s="5"/>
      <c r="W31" s="5"/>
      <c r="X31" s="5"/>
      <c r="Y31" s="5"/>
      <c r="Z31" s="5"/>
      <c r="AA31" s="5"/>
      <c r="AB31" s="5"/>
      <c r="AC31" s="5"/>
      <c r="AD31" s="5"/>
    </row>
    <row r="32" spans="2:30" ht="15.75" x14ac:dyDescent="0.25">
      <c r="B32" s="2">
        <v>9</v>
      </c>
      <c r="C32" s="120">
        <f>'IAT-1'!C34</f>
        <v>951323243009</v>
      </c>
      <c r="D32" s="119" t="str">
        <f>'IAT-1'!D34</f>
        <v>BALADHARSHINI S</v>
      </c>
      <c r="E32" s="3"/>
      <c r="F32" s="274">
        <f>'IAT-1'!Q34</f>
        <v>91.3</v>
      </c>
      <c r="G32" s="274">
        <f>'IAT-1'!S34</f>
        <v>66.7</v>
      </c>
      <c r="H32" s="274">
        <f>'IAT-1'!U34</f>
        <v>88.9</v>
      </c>
      <c r="I32" s="274">
        <f>'IAT-1'!W34</f>
        <v>0</v>
      </c>
      <c r="J32" s="274">
        <f>'IAT-1'!Y34</f>
        <v>0</v>
      </c>
      <c r="K32" s="274">
        <f>'IAT-2'!Q34</f>
        <v>0</v>
      </c>
      <c r="L32" s="274">
        <f>'IAT-2'!S34</f>
        <v>0</v>
      </c>
      <c r="M32" s="274">
        <f>'IAT-2'!U34</f>
        <v>77.8</v>
      </c>
      <c r="N32" s="274">
        <f>'IAT-2'!W34</f>
        <v>83.3</v>
      </c>
      <c r="O32" s="274">
        <f>'IAT-2'!Y34</f>
        <v>87</v>
      </c>
      <c r="P32" s="263">
        <f t="shared" si="0"/>
        <v>91.3</v>
      </c>
      <c r="Q32" s="263">
        <f t="shared" si="1"/>
        <v>66.7</v>
      </c>
      <c r="R32" s="263">
        <f t="shared" si="4"/>
        <v>83.35</v>
      </c>
      <c r="S32" s="263">
        <f t="shared" si="2"/>
        <v>83.3</v>
      </c>
      <c r="T32" s="263">
        <f t="shared" si="3"/>
        <v>87</v>
      </c>
      <c r="U32" s="104"/>
      <c r="V32" s="5"/>
      <c r="W32" s="5"/>
      <c r="X32" s="5"/>
      <c r="Y32" s="5"/>
      <c r="Z32" s="5"/>
      <c r="AA32" s="5"/>
      <c r="AB32" s="5"/>
      <c r="AC32" s="5"/>
      <c r="AD32" s="5"/>
    </row>
    <row r="33" spans="2:30" ht="15.75" x14ac:dyDescent="0.25">
      <c r="B33" s="2">
        <v>10</v>
      </c>
      <c r="C33" s="120">
        <f>'IAT-1'!C35</f>
        <v>951323243010</v>
      </c>
      <c r="D33" s="119" t="str">
        <f>'IAT-1'!D35</f>
        <v>BALASANKAR AYYAPPAN M</v>
      </c>
      <c r="E33" s="3"/>
      <c r="F33" s="274">
        <f>'IAT-1'!Q35</f>
        <v>95.7</v>
      </c>
      <c r="G33" s="274">
        <f>'IAT-1'!S35</f>
        <v>72.2</v>
      </c>
      <c r="H33" s="274">
        <f>'IAT-1'!U35</f>
        <v>88.9</v>
      </c>
      <c r="I33" s="274">
        <f>'IAT-1'!W35</f>
        <v>0</v>
      </c>
      <c r="J33" s="274">
        <f>'IAT-1'!Y35</f>
        <v>0</v>
      </c>
      <c r="K33" s="274">
        <f>'IAT-2'!Q35</f>
        <v>0</v>
      </c>
      <c r="L33" s="274">
        <f>'IAT-2'!S35</f>
        <v>0</v>
      </c>
      <c r="M33" s="274">
        <f>'IAT-2'!U35</f>
        <v>66.7</v>
      </c>
      <c r="N33" s="274">
        <f>'IAT-2'!W35</f>
        <v>61.1</v>
      </c>
      <c r="O33" s="274">
        <f>'IAT-2'!Y35</f>
        <v>95.7</v>
      </c>
      <c r="P33" s="263">
        <f t="shared" si="0"/>
        <v>95.7</v>
      </c>
      <c r="Q33" s="263">
        <f t="shared" si="1"/>
        <v>72.2</v>
      </c>
      <c r="R33" s="263">
        <f t="shared" si="4"/>
        <v>77.800000000000011</v>
      </c>
      <c r="S33" s="263">
        <f t="shared" si="2"/>
        <v>61.1</v>
      </c>
      <c r="T33" s="263">
        <f t="shared" si="3"/>
        <v>95.7</v>
      </c>
      <c r="U33" s="104"/>
      <c r="V33" s="5"/>
      <c r="W33" s="5"/>
      <c r="X33" s="5"/>
      <c r="Y33" s="5"/>
      <c r="Z33" s="5"/>
      <c r="AA33" s="5"/>
      <c r="AB33" s="5"/>
      <c r="AC33" s="5"/>
      <c r="AD33" s="5"/>
    </row>
    <row r="34" spans="2:30" ht="15.75" x14ac:dyDescent="0.25">
      <c r="B34" s="2">
        <v>11</v>
      </c>
      <c r="C34" s="120">
        <f>'IAT-1'!C36</f>
        <v>951323243011</v>
      </c>
      <c r="D34" s="119" t="str">
        <f>'IAT-1'!D36</f>
        <v>BALA SRI RAM G</v>
      </c>
      <c r="E34" s="3"/>
      <c r="F34" s="274">
        <f>'IAT-1'!Q36</f>
        <v>4.3</v>
      </c>
      <c r="G34" s="274">
        <f>'IAT-1'!S36</f>
        <v>11.1</v>
      </c>
      <c r="H34" s="274">
        <f>'IAT-1'!U36</f>
        <v>0</v>
      </c>
      <c r="I34" s="274">
        <f>'IAT-1'!W36</f>
        <v>0</v>
      </c>
      <c r="J34" s="274">
        <f>'IAT-1'!Y36</f>
        <v>0</v>
      </c>
      <c r="K34" s="274">
        <f>'IAT-2'!Q36</f>
        <v>0</v>
      </c>
      <c r="L34" s="274">
        <f>'IAT-2'!S36</f>
        <v>0</v>
      </c>
      <c r="M34" s="274">
        <f>'IAT-2'!U36</f>
        <v>22.2</v>
      </c>
      <c r="N34" s="274">
        <f>'IAT-2'!W36</f>
        <v>16.7</v>
      </c>
      <c r="O34" s="274">
        <f>'IAT-2'!Y36</f>
        <v>60.9</v>
      </c>
      <c r="P34" s="263">
        <f t="shared" si="0"/>
        <v>4.3</v>
      </c>
      <c r="Q34" s="263">
        <f t="shared" si="1"/>
        <v>11.1</v>
      </c>
      <c r="R34" s="263">
        <f t="shared" si="4"/>
        <v>11.1</v>
      </c>
      <c r="S34" s="263">
        <f t="shared" si="2"/>
        <v>16.7</v>
      </c>
      <c r="T34" s="263">
        <f t="shared" si="3"/>
        <v>60.9</v>
      </c>
      <c r="U34" s="104"/>
      <c r="V34" s="5"/>
      <c r="W34" s="5"/>
      <c r="X34" s="5"/>
      <c r="Y34" s="5"/>
      <c r="Z34" s="5"/>
      <c r="AA34" s="5"/>
      <c r="AB34" s="5"/>
      <c r="AC34" s="5"/>
      <c r="AD34" s="5"/>
    </row>
    <row r="35" spans="2:30" ht="15.75" x14ac:dyDescent="0.25">
      <c r="B35" s="2">
        <v>12</v>
      </c>
      <c r="C35" s="120">
        <f>'IAT-1'!C37</f>
        <v>951323243012</v>
      </c>
      <c r="D35" s="119" t="str">
        <f>'IAT-1'!D37</f>
        <v>BENJAMINE FRANKLIN C</v>
      </c>
      <c r="E35" s="3"/>
      <c r="F35" s="274">
        <f>'IAT-1'!Q37</f>
        <v>69.599999999999994</v>
      </c>
      <c r="G35" s="274">
        <f>'IAT-1'!S37</f>
        <v>61.1</v>
      </c>
      <c r="H35" s="274">
        <f>'IAT-1'!U37</f>
        <v>100</v>
      </c>
      <c r="I35" s="274">
        <f>'IAT-1'!W37</f>
        <v>0</v>
      </c>
      <c r="J35" s="274">
        <f>'IAT-1'!Y37</f>
        <v>0</v>
      </c>
      <c r="K35" s="274">
        <f>'IAT-2'!Q37</f>
        <v>0</v>
      </c>
      <c r="L35" s="274">
        <f>'IAT-2'!S37</f>
        <v>0</v>
      </c>
      <c r="M35" s="274">
        <f>'IAT-2'!U37</f>
        <v>22.2</v>
      </c>
      <c r="N35" s="274">
        <f>'IAT-2'!W37</f>
        <v>27.8</v>
      </c>
      <c r="O35" s="274">
        <f>'IAT-2'!Y37</f>
        <v>87</v>
      </c>
      <c r="P35" s="263">
        <f t="shared" si="0"/>
        <v>69.599999999999994</v>
      </c>
      <c r="Q35" s="263">
        <f t="shared" si="1"/>
        <v>61.1</v>
      </c>
      <c r="R35" s="263">
        <f t="shared" si="4"/>
        <v>61.1</v>
      </c>
      <c r="S35" s="263">
        <f t="shared" si="2"/>
        <v>27.8</v>
      </c>
      <c r="T35" s="263">
        <f t="shared" si="3"/>
        <v>87</v>
      </c>
      <c r="U35" s="104"/>
      <c r="V35" s="5"/>
      <c r="W35" s="5"/>
      <c r="X35" s="5"/>
      <c r="Y35" s="5"/>
      <c r="Z35" s="5"/>
      <c r="AA35" s="5"/>
      <c r="AB35" s="5"/>
      <c r="AC35" s="5"/>
      <c r="AD35" s="5"/>
    </row>
    <row r="36" spans="2:30" ht="15.75" x14ac:dyDescent="0.25">
      <c r="B36" s="2">
        <v>13</v>
      </c>
      <c r="C36" s="120">
        <f>'IAT-1'!C38</f>
        <v>951323243013</v>
      </c>
      <c r="D36" s="119" t="str">
        <f>'IAT-1'!D38</f>
        <v>CATHRINE R</v>
      </c>
      <c r="E36" s="3"/>
      <c r="F36" s="274">
        <f>'IAT-1'!Q38</f>
        <v>95.7</v>
      </c>
      <c r="G36" s="274">
        <f>'IAT-1'!S38</f>
        <v>100</v>
      </c>
      <c r="H36" s="274">
        <f>'IAT-1'!U38</f>
        <v>88.9</v>
      </c>
      <c r="I36" s="274">
        <f>'IAT-1'!W38</f>
        <v>0</v>
      </c>
      <c r="J36" s="274">
        <f>'IAT-1'!Y38</f>
        <v>0</v>
      </c>
      <c r="K36" s="274">
        <f>'IAT-2'!Q38</f>
        <v>0</v>
      </c>
      <c r="L36" s="274">
        <f>'IAT-2'!S38</f>
        <v>0</v>
      </c>
      <c r="M36" s="274">
        <f>'IAT-2'!U38</f>
        <v>77.8</v>
      </c>
      <c r="N36" s="274">
        <f>'IAT-2'!W38</f>
        <v>83.3</v>
      </c>
      <c r="O36" s="274">
        <f>'IAT-2'!Y38</f>
        <v>60.9</v>
      </c>
      <c r="P36" s="263">
        <f t="shared" si="0"/>
        <v>95.7</v>
      </c>
      <c r="Q36" s="263">
        <f t="shared" si="1"/>
        <v>100</v>
      </c>
      <c r="R36" s="263">
        <f t="shared" si="4"/>
        <v>83.35</v>
      </c>
      <c r="S36" s="263">
        <f t="shared" si="2"/>
        <v>83.3</v>
      </c>
      <c r="T36" s="263">
        <f t="shared" si="3"/>
        <v>60.9</v>
      </c>
      <c r="U36" s="104"/>
      <c r="V36" s="5"/>
      <c r="W36" s="5"/>
      <c r="X36" s="5"/>
      <c r="Y36" s="5"/>
      <c r="Z36" s="5"/>
      <c r="AA36" s="5"/>
      <c r="AB36" s="5"/>
      <c r="AC36" s="5"/>
      <c r="AD36" s="5"/>
    </row>
    <row r="37" spans="2:30" ht="15.75" x14ac:dyDescent="0.25">
      <c r="B37" s="2">
        <v>14</v>
      </c>
      <c r="C37" s="120">
        <f>'IAT-1'!C39</f>
        <v>951323243014</v>
      </c>
      <c r="D37" s="119" t="str">
        <f>'IAT-1'!D39</f>
        <v>CHENGALESWARI K</v>
      </c>
      <c r="E37" s="3"/>
      <c r="F37" s="274">
        <f>'IAT-1'!Q39</f>
        <v>65.2</v>
      </c>
      <c r="G37" s="274">
        <f>'IAT-1'!S39</f>
        <v>100</v>
      </c>
      <c r="H37" s="274">
        <f>'IAT-1'!U39</f>
        <v>88.9</v>
      </c>
      <c r="I37" s="274">
        <f>'IAT-1'!W39</f>
        <v>0</v>
      </c>
      <c r="J37" s="274">
        <f>'IAT-1'!Y39</f>
        <v>0</v>
      </c>
      <c r="K37" s="274">
        <f>'IAT-2'!Q39</f>
        <v>0</v>
      </c>
      <c r="L37" s="274">
        <f>'IAT-2'!S39</f>
        <v>0</v>
      </c>
      <c r="M37" s="274">
        <f>'IAT-2'!U39</f>
        <v>100</v>
      </c>
      <c r="N37" s="274">
        <f>'IAT-2'!W39</f>
        <v>100</v>
      </c>
      <c r="O37" s="274">
        <f>'IAT-2'!Y39</f>
        <v>100</v>
      </c>
      <c r="P37" s="263">
        <f t="shared" si="0"/>
        <v>65.2</v>
      </c>
      <c r="Q37" s="263">
        <f t="shared" si="1"/>
        <v>100</v>
      </c>
      <c r="R37" s="263">
        <f t="shared" si="4"/>
        <v>94.45</v>
      </c>
      <c r="S37" s="263">
        <f t="shared" si="2"/>
        <v>0</v>
      </c>
      <c r="T37" s="263">
        <f t="shared" si="3"/>
        <v>100</v>
      </c>
      <c r="U37" s="104"/>
      <c r="V37" s="5"/>
      <c r="W37" s="5"/>
      <c r="X37" s="5"/>
      <c r="Y37" s="5"/>
      <c r="Z37" s="5"/>
      <c r="AA37" s="5"/>
      <c r="AB37" s="5"/>
      <c r="AC37" s="5"/>
      <c r="AD37" s="5"/>
    </row>
    <row r="38" spans="2:30" ht="15.75" x14ac:dyDescent="0.25">
      <c r="B38" s="2">
        <v>15</v>
      </c>
      <c r="C38" s="120">
        <f>'IAT-1'!C40</f>
        <v>951323243015</v>
      </c>
      <c r="D38" s="119" t="str">
        <f>'IAT-1'!D40</f>
        <v>DEVI L</v>
      </c>
      <c r="E38" s="3"/>
      <c r="F38" s="274">
        <f>'IAT-1'!Q40</f>
        <v>60.9</v>
      </c>
      <c r="G38" s="274">
        <f>'IAT-1'!S40</f>
        <v>94.4</v>
      </c>
      <c r="H38" s="274">
        <f>'IAT-1'!U40</f>
        <v>88.9</v>
      </c>
      <c r="I38" s="274">
        <f>'IAT-1'!W40</f>
        <v>0</v>
      </c>
      <c r="J38" s="274">
        <f>'IAT-1'!Y40</f>
        <v>0</v>
      </c>
      <c r="K38" s="274">
        <f>'IAT-2'!Q40</f>
        <v>0</v>
      </c>
      <c r="L38" s="274">
        <f>'IAT-2'!S40</f>
        <v>0</v>
      </c>
      <c r="M38" s="274">
        <f>'IAT-2'!U40</f>
        <v>66.7</v>
      </c>
      <c r="N38" s="274">
        <f>'IAT-2'!W40</f>
        <v>0</v>
      </c>
      <c r="O38" s="274">
        <f>'IAT-2'!Y40</f>
        <v>82.6</v>
      </c>
      <c r="P38" s="263">
        <f t="shared" si="0"/>
        <v>60.9</v>
      </c>
      <c r="Q38" s="263">
        <f t="shared" si="1"/>
        <v>94.4</v>
      </c>
      <c r="R38" s="263">
        <f t="shared" si="4"/>
        <v>77.800000000000011</v>
      </c>
      <c r="S38" s="263">
        <f t="shared" si="2"/>
        <v>0</v>
      </c>
      <c r="T38" s="263">
        <f t="shared" si="3"/>
        <v>0</v>
      </c>
      <c r="U38" s="104"/>
      <c r="V38" s="5"/>
      <c r="W38" s="5"/>
      <c r="X38" s="5"/>
      <c r="Y38" s="5"/>
      <c r="Z38" s="5"/>
      <c r="AA38" s="5"/>
      <c r="AB38" s="5"/>
      <c r="AC38" s="5"/>
      <c r="AD38" s="5"/>
    </row>
    <row r="39" spans="2:30" ht="15.75" x14ac:dyDescent="0.25">
      <c r="B39" s="2">
        <v>16</v>
      </c>
      <c r="C39" s="120">
        <f>'IAT-1'!C41</f>
        <v>951323243016</v>
      </c>
      <c r="D39" s="119" t="str">
        <f>'IAT-1'!D41</f>
        <v>DHARUN S</v>
      </c>
      <c r="E39" s="3"/>
      <c r="F39" s="274">
        <f>'IAT-1'!Q41</f>
        <v>56.5</v>
      </c>
      <c r="G39" s="274">
        <f>'IAT-1'!S41</f>
        <v>33.299999999999997</v>
      </c>
      <c r="H39" s="274">
        <f>'IAT-1'!U41</f>
        <v>66.7</v>
      </c>
      <c r="I39" s="274">
        <f>'IAT-1'!W41</f>
        <v>0</v>
      </c>
      <c r="J39" s="274">
        <f>'IAT-1'!Y41</f>
        <v>0</v>
      </c>
      <c r="K39" s="274">
        <f>'IAT-2'!Q41</f>
        <v>0</v>
      </c>
      <c r="L39" s="274">
        <f>'IAT-2'!S41</f>
        <v>0</v>
      </c>
      <c r="M39" s="274">
        <f>'IAT-2'!U41</f>
        <v>0</v>
      </c>
      <c r="N39" s="274">
        <f>'IAT-2'!W41</f>
        <v>0</v>
      </c>
      <c r="O39" s="274">
        <f>'IAT-2'!Y41</f>
        <v>0</v>
      </c>
      <c r="P39" s="263">
        <f t="shared" si="0"/>
        <v>56.5</v>
      </c>
      <c r="Q39" s="263">
        <f t="shared" si="1"/>
        <v>33.299999999999997</v>
      </c>
      <c r="R39" s="263">
        <f t="shared" si="4"/>
        <v>33.35</v>
      </c>
      <c r="S39" s="263">
        <f t="shared" si="2"/>
        <v>0</v>
      </c>
      <c r="T39" s="263">
        <f t="shared" si="3"/>
        <v>0</v>
      </c>
      <c r="U39" s="104"/>
      <c r="V39" s="5"/>
      <c r="W39" s="5"/>
      <c r="X39" s="5"/>
      <c r="Y39" s="5"/>
      <c r="Z39" s="5"/>
      <c r="AA39" s="5"/>
      <c r="AB39" s="5"/>
      <c r="AC39" s="5"/>
      <c r="AD39" s="5"/>
    </row>
    <row r="40" spans="2:30" ht="15.75" x14ac:dyDescent="0.25">
      <c r="B40" s="2">
        <v>17</v>
      </c>
      <c r="C40" s="120">
        <f>'IAT-1'!C42</f>
        <v>951323243017</v>
      </c>
      <c r="D40" s="119" t="str">
        <f>'IAT-1'!D42</f>
        <v>EAKANTHALINGAM R</v>
      </c>
      <c r="E40" s="3"/>
      <c r="F40" s="274">
        <f>'IAT-1'!Q42</f>
        <v>47.8</v>
      </c>
      <c r="G40" s="274">
        <f>'IAT-1'!S42</f>
        <v>72.2</v>
      </c>
      <c r="H40" s="274">
        <f>'IAT-1'!U42</f>
        <v>88.9</v>
      </c>
      <c r="I40" s="274">
        <f>'IAT-1'!W42</f>
        <v>0</v>
      </c>
      <c r="J40" s="274">
        <f>'IAT-1'!Y42</f>
        <v>0</v>
      </c>
      <c r="K40" s="274">
        <f>'IAT-2'!Q42</f>
        <v>0</v>
      </c>
      <c r="L40" s="274">
        <f>'IAT-2'!S42</f>
        <v>0</v>
      </c>
      <c r="M40" s="274">
        <f>'IAT-2'!U42</f>
        <v>22.2</v>
      </c>
      <c r="N40" s="274">
        <f>'IAT-2'!W42</f>
        <v>22.2</v>
      </c>
      <c r="O40" s="274">
        <f>'IAT-2'!Y42</f>
        <v>60.9</v>
      </c>
      <c r="P40" s="263">
        <f t="shared" si="0"/>
        <v>47.8</v>
      </c>
      <c r="Q40" s="263">
        <f t="shared" si="1"/>
        <v>72.2</v>
      </c>
      <c r="R40" s="263">
        <f t="shared" si="4"/>
        <v>55.550000000000004</v>
      </c>
      <c r="S40" s="263">
        <f t="shared" si="2"/>
        <v>22.2</v>
      </c>
      <c r="T40" s="263">
        <f t="shared" si="3"/>
        <v>60.9</v>
      </c>
      <c r="U40" s="104"/>
      <c r="V40" s="5"/>
      <c r="W40" s="5"/>
      <c r="X40" s="5"/>
      <c r="Y40" s="5"/>
      <c r="Z40" s="5"/>
      <c r="AA40" s="5"/>
      <c r="AB40" s="5"/>
      <c r="AC40" s="5"/>
      <c r="AD40" s="5"/>
    </row>
    <row r="41" spans="2:30" ht="15.75" x14ac:dyDescent="0.25">
      <c r="B41" s="2">
        <v>18</v>
      </c>
      <c r="C41" s="120">
        <f>'IAT-1'!C43</f>
        <v>951323243018</v>
      </c>
      <c r="D41" s="119" t="str">
        <f>'IAT-1'!D43</f>
        <v>EFRIN THANASEKARAN J</v>
      </c>
      <c r="E41" s="3"/>
      <c r="F41" s="274">
        <f>'IAT-1'!Q43</f>
        <v>73.900000000000006</v>
      </c>
      <c r="G41" s="274">
        <f>'IAT-1'!S43</f>
        <v>100</v>
      </c>
      <c r="H41" s="274">
        <f>'IAT-1'!U43</f>
        <v>100</v>
      </c>
      <c r="I41" s="274">
        <f>'IAT-1'!W43</f>
        <v>0</v>
      </c>
      <c r="J41" s="274">
        <f>'IAT-1'!Y43</f>
        <v>0</v>
      </c>
      <c r="K41" s="274">
        <f>'IAT-2'!Q43</f>
        <v>0</v>
      </c>
      <c r="L41" s="274">
        <f>'IAT-2'!S43</f>
        <v>0</v>
      </c>
      <c r="M41" s="274">
        <f>'IAT-2'!U43</f>
        <v>66.7</v>
      </c>
      <c r="N41" s="274">
        <f>'IAT-2'!W43</f>
        <v>11.1</v>
      </c>
      <c r="O41" s="274">
        <f>'IAT-2'!Y43</f>
        <v>73.900000000000006</v>
      </c>
      <c r="P41" s="263">
        <f t="shared" si="0"/>
        <v>73.900000000000006</v>
      </c>
      <c r="Q41" s="263">
        <f t="shared" si="1"/>
        <v>100</v>
      </c>
      <c r="R41" s="263">
        <f t="shared" si="4"/>
        <v>83.35</v>
      </c>
      <c r="S41" s="263">
        <f t="shared" si="2"/>
        <v>11.1</v>
      </c>
      <c r="T41" s="263">
        <f t="shared" si="3"/>
        <v>73.900000000000006</v>
      </c>
      <c r="U41" s="104"/>
      <c r="V41" s="5"/>
      <c r="W41" s="5"/>
      <c r="X41" s="5"/>
      <c r="Y41" s="5"/>
      <c r="Z41" s="5"/>
      <c r="AA41" s="5"/>
      <c r="AB41" s="5"/>
      <c r="AC41" s="5"/>
      <c r="AD41" s="5"/>
    </row>
    <row r="42" spans="2:30" ht="15.75" x14ac:dyDescent="0.25">
      <c r="B42" s="2">
        <v>19</v>
      </c>
      <c r="C42" s="120">
        <f>'IAT-1'!C44</f>
        <v>951323243019</v>
      </c>
      <c r="D42" s="119" t="str">
        <f>'IAT-1'!D44</f>
        <v>GAYATHRI M</v>
      </c>
      <c r="E42" s="3"/>
      <c r="F42" s="274">
        <f>'IAT-1'!Q44</f>
        <v>82.6</v>
      </c>
      <c r="G42" s="274">
        <f>'IAT-1'!S44</f>
        <v>100</v>
      </c>
      <c r="H42" s="274">
        <f>'IAT-1'!U44</f>
        <v>66.7</v>
      </c>
      <c r="I42" s="274">
        <f>'IAT-1'!W44</f>
        <v>0</v>
      </c>
      <c r="J42" s="274">
        <f>'IAT-1'!Y44</f>
        <v>0</v>
      </c>
      <c r="K42" s="274">
        <f>'IAT-2'!Q44</f>
        <v>0</v>
      </c>
      <c r="L42" s="274">
        <f>'IAT-2'!S44</f>
        <v>0</v>
      </c>
      <c r="M42" s="274">
        <f>'IAT-2'!U44</f>
        <v>66.7</v>
      </c>
      <c r="N42" s="274">
        <f>'IAT-2'!W44</f>
        <v>66.7</v>
      </c>
      <c r="O42" s="274">
        <f>'IAT-2'!Y44</f>
        <v>87</v>
      </c>
      <c r="P42" s="263">
        <f t="shared" si="0"/>
        <v>82.6</v>
      </c>
      <c r="Q42" s="263">
        <f t="shared" si="1"/>
        <v>100</v>
      </c>
      <c r="R42" s="263">
        <f t="shared" si="4"/>
        <v>66.7</v>
      </c>
      <c r="S42" s="263">
        <f t="shared" si="2"/>
        <v>66.7</v>
      </c>
      <c r="T42" s="263">
        <f t="shared" si="3"/>
        <v>87</v>
      </c>
      <c r="U42" s="104"/>
      <c r="V42" s="5"/>
      <c r="W42" s="5"/>
      <c r="X42" s="5"/>
      <c r="Y42" s="5"/>
      <c r="Z42" s="5"/>
      <c r="AA42" s="5"/>
      <c r="AB42" s="5"/>
      <c r="AC42" s="5"/>
      <c r="AD42" s="5"/>
    </row>
    <row r="43" spans="2:30" ht="15.75" x14ac:dyDescent="0.25">
      <c r="B43" s="2">
        <v>20</v>
      </c>
      <c r="C43" s="120">
        <f>'IAT-1'!C45</f>
        <v>951323243020</v>
      </c>
      <c r="D43" s="119" t="str">
        <f>'IAT-1'!D45</f>
        <v>GOKILA G</v>
      </c>
      <c r="E43" s="3"/>
      <c r="F43" s="274">
        <f>'IAT-1'!Q45</f>
        <v>100</v>
      </c>
      <c r="G43" s="274">
        <f>'IAT-1'!S45</f>
        <v>88.9</v>
      </c>
      <c r="H43" s="274">
        <f>'IAT-1'!U45</f>
        <v>100</v>
      </c>
      <c r="I43" s="274">
        <f>'IAT-1'!W45</f>
        <v>0</v>
      </c>
      <c r="J43" s="274">
        <f>'IAT-1'!Y45</f>
        <v>0</v>
      </c>
      <c r="K43" s="274">
        <f>'IAT-2'!Q45</f>
        <v>0</v>
      </c>
      <c r="L43" s="274">
        <f>'IAT-2'!S45</f>
        <v>0</v>
      </c>
      <c r="M43" s="274">
        <f>'IAT-2'!U45</f>
        <v>100</v>
      </c>
      <c r="N43" s="274">
        <f>'IAT-2'!W45</f>
        <v>55.6</v>
      </c>
      <c r="O43" s="274">
        <f>'IAT-2'!Y45</f>
        <v>91.3</v>
      </c>
      <c r="P43" s="263">
        <f t="shared" si="0"/>
        <v>100</v>
      </c>
      <c r="Q43" s="263">
        <f t="shared" si="1"/>
        <v>88.9</v>
      </c>
      <c r="R43" s="263">
        <f t="shared" si="4"/>
        <v>100</v>
      </c>
      <c r="S43" s="263">
        <f t="shared" si="2"/>
        <v>55.6</v>
      </c>
      <c r="T43" s="263">
        <f t="shared" si="3"/>
        <v>91.3</v>
      </c>
      <c r="U43" s="104"/>
      <c r="V43" s="5"/>
      <c r="W43" s="5"/>
      <c r="X43" s="5"/>
      <c r="Y43" s="5"/>
      <c r="Z43" s="5"/>
      <c r="AA43" s="5"/>
      <c r="AB43" s="5"/>
      <c r="AC43" s="5"/>
      <c r="AD43" s="5"/>
    </row>
    <row r="44" spans="2:30" ht="15.75" x14ac:dyDescent="0.25">
      <c r="B44" s="2">
        <v>21</v>
      </c>
      <c r="C44" s="120">
        <f>'IAT-1'!C46</f>
        <v>951323243021</v>
      </c>
      <c r="D44" s="119" t="str">
        <f>'IAT-1'!D46</f>
        <v>GOWRI KRISHNAVENI N</v>
      </c>
      <c r="E44" s="3"/>
      <c r="F44" s="274">
        <f>'IAT-1'!Q46</f>
        <v>100</v>
      </c>
      <c r="G44" s="274">
        <f>'IAT-1'!S46</f>
        <v>100</v>
      </c>
      <c r="H44" s="274">
        <f>'IAT-1'!U46</f>
        <v>100</v>
      </c>
      <c r="I44" s="274">
        <f>'IAT-1'!W46</f>
        <v>0</v>
      </c>
      <c r="J44" s="274">
        <f>'IAT-1'!Y46</f>
        <v>0</v>
      </c>
      <c r="K44" s="274">
        <f>'IAT-2'!Q46</f>
        <v>0</v>
      </c>
      <c r="L44" s="274">
        <f>'IAT-2'!S46</f>
        <v>0</v>
      </c>
      <c r="M44" s="274">
        <f>'IAT-2'!U46</f>
        <v>100</v>
      </c>
      <c r="N44" s="274">
        <f>'IAT-2'!W46</f>
        <v>94.4</v>
      </c>
      <c r="O44" s="274">
        <f>'IAT-2'!Y46</f>
        <v>100</v>
      </c>
      <c r="P44" s="263">
        <f t="shared" si="0"/>
        <v>100</v>
      </c>
      <c r="Q44" s="263">
        <f t="shared" si="1"/>
        <v>100</v>
      </c>
      <c r="R44" s="263">
        <f t="shared" si="4"/>
        <v>100</v>
      </c>
      <c r="S44" s="263">
        <f t="shared" si="2"/>
        <v>0</v>
      </c>
      <c r="T44" s="263">
        <f t="shared" si="3"/>
        <v>0</v>
      </c>
      <c r="U44" s="104"/>
      <c r="V44" s="5"/>
      <c r="W44" s="5"/>
      <c r="X44" s="5"/>
      <c r="Y44" s="5"/>
      <c r="Z44" s="5"/>
      <c r="AA44" s="5"/>
      <c r="AB44" s="5"/>
      <c r="AC44" s="5"/>
      <c r="AD44" s="5"/>
    </row>
    <row r="45" spans="2:30" ht="15.75" x14ac:dyDescent="0.25">
      <c r="B45" s="2">
        <v>22</v>
      </c>
      <c r="C45" s="120">
        <f>'IAT-1'!C47</f>
        <v>951323243022</v>
      </c>
      <c r="D45" s="119" t="str">
        <f>'IAT-1'!D47</f>
        <v>HEART BRIGHT MERCY S</v>
      </c>
      <c r="E45" s="3"/>
      <c r="F45" s="274">
        <f>'IAT-1'!Q47</f>
        <v>91.3</v>
      </c>
      <c r="G45" s="274">
        <f>'IAT-1'!S47</f>
        <v>61.1</v>
      </c>
      <c r="H45" s="274">
        <f>'IAT-1'!U47</f>
        <v>88.9</v>
      </c>
      <c r="I45" s="274">
        <f>'IAT-1'!W47</f>
        <v>0</v>
      </c>
      <c r="J45" s="274">
        <f>'IAT-1'!Y47</f>
        <v>0</v>
      </c>
      <c r="K45" s="274">
        <f>'IAT-2'!Q47</f>
        <v>0</v>
      </c>
      <c r="L45" s="274">
        <f>'IAT-2'!S47</f>
        <v>0</v>
      </c>
      <c r="M45" s="274">
        <f>'IAT-2'!U47</f>
        <v>0</v>
      </c>
      <c r="N45" s="274">
        <f>'IAT-2'!W47</f>
        <v>0</v>
      </c>
      <c r="O45" s="274">
        <f>'IAT-2'!Y47</f>
        <v>0</v>
      </c>
      <c r="P45" s="263">
        <f t="shared" si="0"/>
        <v>0</v>
      </c>
      <c r="Q45" s="263">
        <f t="shared" si="1"/>
        <v>0</v>
      </c>
      <c r="R45" s="263">
        <f t="shared" si="4"/>
        <v>44.45</v>
      </c>
      <c r="S45" s="263">
        <f t="shared" si="2"/>
        <v>0</v>
      </c>
      <c r="T45" s="263">
        <f t="shared" si="3"/>
        <v>0</v>
      </c>
      <c r="U45" s="104"/>
      <c r="V45" s="5"/>
      <c r="W45" s="5"/>
      <c r="X45" s="5"/>
      <c r="Y45" s="5"/>
      <c r="Z45" s="5"/>
      <c r="AA45" s="5"/>
      <c r="AB45" s="5"/>
      <c r="AC45" s="5"/>
      <c r="AD45" s="5"/>
    </row>
    <row r="46" spans="2:30" ht="15.75" x14ac:dyDescent="0.25">
      <c r="B46" s="2">
        <v>23</v>
      </c>
      <c r="C46" s="120">
        <f>'IAT-1'!C48</f>
        <v>951323243023</v>
      </c>
      <c r="D46" s="119" t="str">
        <f>'IAT-1'!D48</f>
        <v>INFANT EBINESH R</v>
      </c>
      <c r="E46" s="3"/>
      <c r="F46" s="274">
        <f>'IAT-1'!Q48</f>
        <v>0</v>
      </c>
      <c r="G46" s="274">
        <f>'IAT-1'!S48</f>
        <v>0</v>
      </c>
      <c r="H46" s="274">
        <f>'IAT-1'!U48</f>
        <v>0</v>
      </c>
      <c r="I46" s="274">
        <f>'IAT-1'!W48</f>
        <v>0</v>
      </c>
      <c r="J46" s="274">
        <f>'IAT-1'!Y48</f>
        <v>0</v>
      </c>
      <c r="K46" s="274">
        <f>'IAT-2'!Q48</f>
        <v>0</v>
      </c>
      <c r="L46" s="274">
        <f>'IAT-2'!S48</f>
        <v>0</v>
      </c>
      <c r="M46" s="274">
        <f>'IAT-2'!U48</f>
        <v>11.1</v>
      </c>
      <c r="N46" s="274">
        <f>'IAT-2'!W48</f>
        <v>5.6</v>
      </c>
      <c r="O46" s="274">
        <f>'IAT-2'!Y48</f>
        <v>13</v>
      </c>
      <c r="P46" s="263">
        <f t="shared" si="0"/>
        <v>0</v>
      </c>
      <c r="Q46" s="263">
        <f t="shared" si="1"/>
        <v>0</v>
      </c>
      <c r="R46" s="263">
        <f t="shared" si="4"/>
        <v>5.55</v>
      </c>
      <c r="S46" s="263">
        <f t="shared" si="2"/>
        <v>5.6</v>
      </c>
      <c r="T46" s="263">
        <f t="shared" si="3"/>
        <v>13</v>
      </c>
      <c r="U46" s="104"/>
      <c r="V46" s="5"/>
      <c r="W46" s="5"/>
      <c r="X46" s="5"/>
      <c r="Y46" s="5"/>
      <c r="Z46" s="5"/>
      <c r="AA46" s="5"/>
      <c r="AB46" s="5"/>
      <c r="AC46" s="5"/>
      <c r="AD46" s="5"/>
    </row>
    <row r="47" spans="2:30" ht="15.75" x14ac:dyDescent="0.25">
      <c r="B47" s="2">
        <v>24</v>
      </c>
      <c r="C47" s="120">
        <f>'IAT-1'!C49</f>
        <v>951323243024</v>
      </c>
      <c r="D47" s="119" t="str">
        <f>'IAT-1'!D49</f>
        <v>JAI SURYA N</v>
      </c>
      <c r="E47" s="3"/>
      <c r="F47" s="274">
        <f>'IAT-1'!Q49</f>
        <v>60.9</v>
      </c>
      <c r="G47" s="274">
        <f>'IAT-1'!S49</f>
        <v>27.8</v>
      </c>
      <c r="H47" s="274">
        <f>'IAT-1'!U49</f>
        <v>77.8</v>
      </c>
      <c r="I47" s="274">
        <f>'IAT-1'!W49</f>
        <v>0</v>
      </c>
      <c r="J47" s="274">
        <f>'IAT-1'!Y49</f>
        <v>0</v>
      </c>
      <c r="K47" s="274">
        <f>'IAT-2'!Q49</f>
        <v>0</v>
      </c>
      <c r="L47" s="274">
        <f>'IAT-2'!S49</f>
        <v>0</v>
      </c>
      <c r="M47" s="274">
        <f>'IAT-2'!U49</f>
        <v>55.6</v>
      </c>
      <c r="N47" s="274">
        <f>'IAT-2'!W49</f>
        <v>11.1</v>
      </c>
      <c r="O47" s="274">
        <f>'IAT-2'!Y49</f>
        <v>60.9</v>
      </c>
      <c r="P47" s="263">
        <f t="shared" si="0"/>
        <v>60.9</v>
      </c>
      <c r="Q47" s="263">
        <f t="shared" si="1"/>
        <v>27.8</v>
      </c>
      <c r="R47" s="263">
        <f t="shared" si="4"/>
        <v>66.7</v>
      </c>
      <c r="S47" s="263">
        <f t="shared" si="2"/>
        <v>11.1</v>
      </c>
      <c r="T47" s="263">
        <f t="shared" si="3"/>
        <v>60.9</v>
      </c>
      <c r="U47" s="104"/>
      <c r="V47" s="5"/>
      <c r="W47" s="5"/>
      <c r="X47" s="5"/>
      <c r="Y47" s="5"/>
      <c r="Z47" s="5"/>
      <c r="AA47" s="5"/>
      <c r="AB47" s="5"/>
      <c r="AC47" s="5"/>
      <c r="AD47" s="5"/>
    </row>
    <row r="48" spans="2:30" ht="15.75" x14ac:dyDescent="0.25">
      <c r="B48" s="2">
        <v>25</v>
      </c>
      <c r="C48" s="120">
        <f>'IAT-1'!C50</f>
        <v>951323243025</v>
      </c>
      <c r="D48" s="119" t="str">
        <f>'IAT-1'!D50</f>
        <v>JANI ALICE THIRSA J</v>
      </c>
      <c r="E48" s="3"/>
      <c r="F48" s="274">
        <f>'IAT-1'!Q50</f>
        <v>78.3</v>
      </c>
      <c r="G48" s="274">
        <f>'IAT-1'!S50</f>
        <v>83.3</v>
      </c>
      <c r="H48" s="274">
        <f>'IAT-1'!U50</f>
        <v>88.9</v>
      </c>
      <c r="I48" s="274">
        <f>'IAT-1'!W50</f>
        <v>0</v>
      </c>
      <c r="J48" s="274">
        <f>'IAT-1'!Y50</f>
        <v>0</v>
      </c>
      <c r="K48" s="274">
        <f>'IAT-2'!Q50</f>
        <v>0</v>
      </c>
      <c r="L48" s="274">
        <f>'IAT-2'!S50</f>
        <v>0</v>
      </c>
      <c r="M48" s="274">
        <f>'IAT-2'!U50</f>
        <v>88.9</v>
      </c>
      <c r="N48" s="274">
        <f>'IAT-2'!W50</f>
        <v>44.4</v>
      </c>
      <c r="O48" s="274">
        <f>'IAT-2'!Y50</f>
        <v>87</v>
      </c>
      <c r="P48" s="263">
        <f t="shared" si="0"/>
        <v>78.3</v>
      </c>
      <c r="Q48" s="263">
        <f t="shared" si="1"/>
        <v>83.3</v>
      </c>
      <c r="R48" s="263">
        <f t="shared" si="4"/>
        <v>88.9</v>
      </c>
      <c r="S48" s="263">
        <f t="shared" si="2"/>
        <v>44.4</v>
      </c>
      <c r="T48" s="263">
        <f t="shared" si="3"/>
        <v>87</v>
      </c>
      <c r="U48" s="104"/>
      <c r="V48" s="5"/>
      <c r="W48" s="5"/>
      <c r="X48" s="5"/>
      <c r="Y48" s="5"/>
      <c r="Z48" s="5"/>
      <c r="AA48" s="5"/>
      <c r="AB48" s="5"/>
      <c r="AC48" s="5"/>
      <c r="AD48" s="5"/>
    </row>
    <row r="49" spans="2:30" ht="15.75" x14ac:dyDescent="0.25">
      <c r="B49" s="2">
        <v>26</v>
      </c>
      <c r="C49" s="120">
        <f>'IAT-1'!C51</f>
        <v>951323243026</v>
      </c>
      <c r="D49" s="119" t="str">
        <f>'IAT-1'!D51</f>
        <v>JEBA A</v>
      </c>
      <c r="E49" s="3"/>
      <c r="F49" s="274">
        <f>'IAT-1'!Q51</f>
        <v>95.7</v>
      </c>
      <c r="G49" s="274">
        <f>'IAT-1'!S51</f>
        <v>94.4</v>
      </c>
      <c r="H49" s="274">
        <f>'IAT-1'!U51</f>
        <v>100</v>
      </c>
      <c r="I49" s="274">
        <f>'IAT-1'!W51</f>
        <v>0</v>
      </c>
      <c r="J49" s="274">
        <f>'IAT-1'!Y51</f>
        <v>0</v>
      </c>
      <c r="K49" s="274">
        <f>'IAT-2'!Q51</f>
        <v>0</v>
      </c>
      <c r="L49" s="274">
        <f>'IAT-2'!S51</f>
        <v>0</v>
      </c>
      <c r="M49" s="274">
        <f>'IAT-2'!U51</f>
        <v>100</v>
      </c>
      <c r="N49" s="274">
        <f>'IAT-2'!W51</f>
        <v>88.9</v>
      </c>
      <c r="O49" s="274">
        <f>'IAT-2'!Y51</f>
        <v>87</v>
      </c>
      <c r="P49" s="263">
        <f t="shared" si="0"/>
        <v>0</v>
      </c>
      <c r="Q49" s="263">
        <f t="shared" si="1"/>
        <v>0</v>
      </c>
      <c r="R49" s="263">
        <f t="shared" si="4"/>
        <v>100</v>
      </c>
      <c r="S49" s="263">
        <f t="shared" si="2"/>
        <v>88.9</v>
      </c>
      <c r="T49" s="263">
        <f t="shared" si="3"/>
        <v>87</v>
      </c>
      <c r="U49" s="104"/>
      <c r="V49" s="5"/>
      <c r="W49" s="5"/>
      <c r="X49" s="5"/>
      <c r="Y49" s="5"/>
      <c r="Z49" s="5"/>
      <c r="AA49" s="5"/>
      <c r="AB49" s="5"/>
      <c r="AC49" s="5"/>
      <c r="AD49" s="5"/>
    </row>
    <row r="50" spans="2:30" ht="15.75" x14ac:dyDescent="0.25">
      <c r="B50" s="2">
        <v>27</v>
      </c>
      <c r="C50" s="120">
        <f>'IAT-1'!C52</f>
        <v>951323243027</v>
      </c>
      <c r="D50" s="119" t="str">
        <f>'IAT-1'!D52</f>
        <v>JENIFER E</v>
      </c>
      <c r="E50" s="3"/>
      <c r="F50" s="274">
        <f>'IAT-1'!Q52</f>
        <v>0</v>
      </c>
      <c r="G50" s="274">
        <f>'IAT-1'!S52</f>
        <v>0</v>
      </c>
      <c r="H50" s="274">
        <f>'IAT-1'!U52</f>
        <v>0</v>
      </c>
      <c r="I50" s="274">
        <f>'IAT-1'!W52</f>
        <v>0</v>
      </c>
      <c r="J50" s="274">
        <f>'IAT-1'!Y52</f>
        <v>0</v>
      </c>
      <c r="K50" s="274">
        <f>'IAT-2'!Q52</f>
        <v>0</v>
      </c>
      <c r="L50" s="274">
        <f>'IAT-2'!S52</f>
        <v>0</v>
      </c>
      <c r="M50" s="274">
        <f>'IAT-2'!U52</f>
        <v>100</v>
      </c>
      <c r="N50" s="274">
        <f>'IAT-2'!W52</f>
        <v>94.4</v>
      </c>
      <c r="O50" s="274">
        <f>'IAT-2'!Y52</f>
        <v>100</v>
      </c>
      <c r="P50" s="263">
        <f t="shared" si="0"/>
        <v>0</v>
      </c>
      <c r="Q50" s="263">
        <f t="shared" si="1"/>
        <v>0</v>
      </c>
      <c r="R50" s="263">
        <f t="shared" si="4"/>
        <v>50</v>
      </c>
      <c r="S50" s="263">
        <f t="shared" si="2"/>
        <v>94.4</v>
      </c>
      <c r="T50" s="263">
        <f t="shared" si="3"/>
        <v>100</v>
      </c>
      <c r="U50" s="104"/>
      <c r="V50" s="5"/>
      <c r="W50" s="5"/>
      <c r="X50" s="5"/>
      <c r="Y50" s="5"/>
      <c r="Z50" s="5"/>
      <c r="AA50" s="5"/>
      <c r="AB50" s="5"/>
      <c r="AC50" s="5"/>
      <c r="AD50" s="5"/>
    </row>
    <row r="51" spans="2:30" ht="15.75" x14ac:dyDescent="0.25">
      <c r="B51" s="2">
        <v>28</v>
      </c>
      <c r="C51" s="120">
        <f>'IAT-1'!C53</f>
        <v>951323243028</v>
      </c>
      <c r="D51" s="119" t="str">
        <f>'IAT-1'!D53</f>
        <v>JENITTA CATHERIN R</v>
      </c>
      <c r="E51" s="3"/>
      <c r="F51" s="274">
        <f>'IAT-1'!Q53</f>
        <v>78.3</v>
      </c>
      <c r="G51" s="274">
        <f>'IAT-1'!S53</f>
        <v>44.4</v>
      </c>
      <c r="H51" s="274">
        <f>'IAT-1'!U53</f>
        <v>88.9</v>
      </c>
      <c r="I51" s="274">
        <f>'IAT-1'!W53</f>
        <v>0</v>
      </c>
      <c r="J51" s="274">
        <f>'IAT-1'!Y53</f>
        <v>0</v>
      </c>
      <c r="K51" s="274">
        <f>'IAT-2'!Q53</f>
        <v>0</v>
      </c>
      <c r="L51" s="274">
        <f>'IAT-2'!S53</f>
        <v>0</v>
      </c>
      <c r="M51" s="274">
        <f>'IAT-2'!U53</f>
        <v>88.9</v>
      </c>
      <c r="N51" s="274">
        <f>'IAT-2'!W53</f>
        <v>44.4</v>
      </c>
      <c r="O51" s="274">
        <f>'IAT-2'!Y53</f>
        <v>78.3</v>
      </c>
      <c r="P51" s="263">
        <f t="shared" si="0"/>
        <v>78.3</v>
      </c>
      <c r="Q51" s="263">
        <f t="shared" si="1"/>
        <v>44.4</v>
      </c>
      <c r="R51" s="263">
        <f t="shared" si="4"/>
        <v>88.9</v>
      </c>
      <c r="S51" s="263">
        <f t="shared" si="2"/>
        <v>44.4</v>
      </c>
      <c r="T51" s="263">
        <f t="shared" si="3"/>
        <v>78.3</v>
      </c>
      <c r="U51" s="104"/>
      <c r="V51" s="5"/>
      <c r="W51" s="5"/>
      <c r="X51" s="5"/>
      <c r="Y51" s="5"/>
      <c r="Z51" s="5"/>
      <c r="AA51" s="5"/>
      <c r="AB51" s="5"/>
      <c r="AC51" s="5"/>
      <c r="AD51" s="5"/>
    </row>
    <row r="52" spans="2:30" ht="15.75" x14ac:dyDescent="0.25">
      <c r="B52" s="2">
        <v>29</v>
      </c>
      <c r="C52" s="120">
        <f>'IAT-1'!C54</f>
        <v>951323243029</v>
      </c>
      <c r="D52" s="119" t="str">
        <f>'IAT-1'!D54</f>
        <v>JEYACHITHRA K</v>
      </c>
      <c r="E52" s="6"/>
      <c r="F52" s="274">
        <f>'IAT-1'!Q54</f>
        <v>100</v>
      </c>
      <c r="G52" s="274">
        <f>'IAT-1'!S54</f>
        <v>100</v>
      </c>
      <c r="H52" s="274">
        <f>'IAT-1'!U54</f>
        <v>100</v>
      </c>
      <c r="I52" s="274">
        <f>'IAT-1'!W54</f>
        <v>0</v>
      </c>
      <c r="J52" s="274">
        <f>'IAT-1'!Y54</f>
        <v>0</v>
      </c>
      <c r="K52" s="274">
        <f>'IAT-2'!Q54</f>
        <v>0</v>
      </c>
      <c r="L52" s="274">
        <f>'IAT-2'!S54</f>
        <v>0</v>
      </c>
      <c r="M52" s="274">
        <f>'IAT-2'!U54</f>
        <v>100</v>
      </c>
      <c r="N52" s="274">
        <f>'IAT-2'!W54</f>
        <v>94.4</v>
      </c>
      <c r="O52" s="274">
        <f>'IAT-2'!Y54</f>
        <v>100</v>
      </c>
      <c r="P52" s="263">
        <f t="shared" si="0"/>
        <v>0</v>
      </c>
      <c r="Q52" s="263">
        <f t="shared" si="1"/>
        <v>0</v>
      </c>
      <c r="R52" s="263">
        <f t="shared" si="4"/>
        <v>100</v>
      </c>
      <c r="S52" s="263">
        <f t="shared" si="2"/>
        <v>0</v>
      </c>
      <c r="T52" s="263">
        <f t="shared" si="3"/>
        <v>100</v>
      </c>
      <c r="U52" s="104"/>
      <c r="V52" s="5"/>
      <c r="W52" s="5"/>
      <c r="X52" s="5"/>
      <c r="Y52" s="5"/>
      <c r="Z52" s="5"/>
      <c r="AA52" s="5"/>
      <c r="AB52" s="5"/>
      <c r="AC52" s="5"/>
      <c r="AD52" s="5"/>
    </row>
    <row r="53" spans="2:30" ht="15.75" x14ac:dyDescent="0.25">
      <c r="B53" s="2">
        <v>30</v>
      </c>
      <c r="C53" s="120">
        <f>'IAT-1'!C55</f>
        <v>951323243030</v>
      </c>
      <c r="D53" s="119" t="str">
        <f>'IAT-1'!D55</f>
        <v>JOSVA PRINCE R</v>
      </c>
      <c r="E53" s="3"/>
      <c r="F53" s="274">
        <f>'IAT-1'!Q55</f>
        <v>0</v>
      </c>
      <c r="G53" s="274">
        <f>'IAT-1'!S55</f>
        <v>0</v>
      </c>
      <c r="H53" s="274">
        <f>'IAT-1'!U55</f>
        <v>0</v>
      </c>
      <c r="I53" s="274">
        <f>'IAT-1'!W55</f>
        <v>0</v>
      </c>
      <c r="J53" s="274">
        <f>'IAT-1'!Y55</f>
        <v>0</v>
      </c>
      <c r="K53" s="274">
        <f>'IAT-2'!Q55</f>
        <v>0</v>
      </c>
      <c r="L53" s="274">
        <f>'IAT-2'!S55</f>
        <v>0</v>
      </c>
      <c r="M53" s="274">
        <f>'IAT-2'!U55</f>
        <v>11.1</v>
      </c>
      <c r="N53" s="274">
        <f>'IAT-2'!W55</f>
        <v>0</v>
      </c>
      <c r="O53" s="274">
        <f>'IAT-2'!Y55</f>
        <v>39.1</v>
      </c>
      <c r="P53" s="263">
        <f t="shared" si="0"/>
        <v>0</v>
      </c>
      <c r="Q53" s="263">
        <f t="shared" si="1"/>
        <v>0</v>
      </c>
      <c r="R53" s="263">
        <f t="shared" si="4"/>
        <v>5.55</v>
      </c>
      <c r="S53" s="263">
        <f t="shared" si="2"/>
        <v>0</v>
      </c>
      <c r="T53" s="263">
        <f t="shared" si="3"/>
        <v>39.1</v>
      </c>
      <c r="U53" s="104"/>
      <c r="V53" s="5"/>
      <c r="W53" s="5"/>
      <c r="X53" s="5"/>
      <c r="Y53" s="5"/>
      <c r="Z53" s="5"/>
      <c r="AA53" s="5"/>
      <c r="AB53" s="5"/>
      <c r="AC53" s="5"/>
      <c r="AD53" s="5"/>
    </row>
    <row r="54" spans="2:30" ht="15.75" x14ac:dyDescent="0.25">
      <c r="B54" s="2">
        <v>31</v>
      </c>
      <c r="C54" s="120">
        <f>'IAT-1'!C56</f>
        <v>951323243031</v>
      </c>
      <c r="D54" s="119" t="str">
        <f>'IAT-1'!D56</f>
        <v>KALAI SELVAN VINOTH P</v>
      </c>
      <c r="E54" s="3"/>
      <c r="F54" s="274">
        <f>'IAT-1'!Q56</f>
        <v>78.3</v>
      </c>
      <c r="G54" s="274">
        <f>'IAT-1'!S56</f>
        <v>38.9</v>
      </c>
      <c r="H54" s="274">
        <f>'IAT-1'!U56</f>
        <v>0</v>
      </c>
      <c r="I54" s="274">
        <f>'IAT-1'!W56</f>
        <v>0</v>
      </c>
      <c r="J54" s="274">
        <f>'IAT-1'!Y56</f>
        <v>0</v>
      </c>
      <c r="K54" s="274">
        <f>'IAT-2'!Q56</f>
        <v>0</v>
      </c>
      <c r="L54" s="274">
        <f>'IAT-2'!S56</f>
        <v>0</v>
      </c>
      <c r="M54" s="274">
        <f>'IAT-2'!U56</f>
        <v>22.2</v>
      </c>
      <c r="N54" s="274">
        <f>'IAT-2'!W56</f>
        <v>11.1</v>
      </c>
      <c r="O54" s="274">
        <f>'IAT-2'!Y56</f>
        <v>82.6</v>
      </c>
      <c r="P54" s="263">
        <f t="shared" si="0"/>
        <v>78.3</v>
      </c>
      <c r="Q54" s="263">
        <f t="shared" si="1"/>
        <v>38.9</v>
      </c>
      <c r="R54" s="263">
        <f t="shared" si="4"/>
        <v>11.1</v>
      </c>
      <c r="S54" s="263">
        <f t="shared" si="2"/>
        <v>11.1</v>
      </c>
      <c r="T54" s="263">
        <f t="shared" si="3"/>
        <v>82.6</v>
      </c>
      <c r="U54" s="104"/>
      <c r="V54" s="5"/>
      <c r="W54" s="5"/>
      <c r="X54" s="5"/>
      <c r="Y54" s="5"/>
      <c r="Z54" s="5"/>
      <c r="AA54" s="5"/>
      <c r="AB54" s="5"/>
      <c r="AC54" s="5"/>
      <c r="AD54" s="5"/>
    </row>
    <row r="55" spans="2:30" ht="15.75" x14ac:dyDescent="0.25">
      <c r="B55" s="2">
        <v>32</v>
      </c>
      <c r="C55" s="120">
        <f>'IAT-1'!C57</f>
        <v>951323243032</v>
      </c>
      <c r="D55" s="119" t="str">
        <f>'IAT-1'!D57</f>
        <v>LAKSHMANAN SARATHI S</v>
      </c>
      <c r="E55" s="3"/>
      <c r="F55" s="274">
        <f>'IAT-1'!Q57</f>
        <v>69.599999999999994</v>
      </c>
      <c r="G55" s="274">
        <f>'IAT-1'!S57</f>
        <v>83.3</v>
      </c>
      <c r="H55" s="274">
        <f>'IAT-1'!U57</f>
        <v>66.7</v>
      </c>
      <c r="I55" s="274">
        <f>'IAT-1'!W57</f>
        <v>0</v>
      </c>
      <c r="J55" s="274">
        <f>'IAT-1'!Y57</f>
        <v>0</v>
      </c>
      <c r="K55" s="274">
        <f>'IAT-2'!Q57</f>
        <v>0</v>
      </c>
      <c r="L55" s="274">
        <f>'IAT-2'!S57</f>
        <v>0</v>
      </c>
      <c r="M55" s="274">
        <f>'IAT-2'!U57</f>
        <v>55.6</v>
      </c>
      <c r="N55" s="274">
        <f>'IAT-2'!W57</f>
        <v>22.2</v>
      </c>
      <c r="O55" s="274">
        <f>'IAT-2'!Y57</f>
        <v>82.6</v>
      </c>
      <c r="P55" s="263">
        <f t="shared" ref="P55:P80" si="5">SUMIF(F56,"&gt;0",F55)+SUMIF(K56,"&gt;0",K55)</f>
        <v>69.599999999999994</v>
      </c>
      <c r="Q55" s="263">
        <f t="shared" ref="Q55:Q80" si="6">SUMIF(G56,"&gt;0",G55)+SUMIF(L56,"&gt;0",L55)</f>
        <v>83.3</v>
      </c>
      <c r="R55" s="263">
        <f t="shared" si="4"/>
        <v>61.150000000000006</v>
      </c>
      <c r="S55" s="263">
        <f t="shared" ref="S55:S80" si="7">SUMIF(I56,"&gt;0",I55)+SUMIF(N56,"&gt;0",N55)</f>
        <v>22.2</v>
      </c>
      <c r="T55" s="263">
        <f t="shared" ref="T55:T80" si="8">SUMIF(J56,"&gt;0",J55)+SUMIF(O56,"&gt;0",O55)</f>
        <v>82.6</v>
      </c>
      <c r="U55" s="104"/>
      <c r="V55" s="5"/>
      <c r="W55" s="5"/>
      <c r="X55" s="5"/>
      <c r="Y55" s="5"/>
      <c r="Z55" s="5"/>
      <c r="AA55" s="5"/>
      <c r="AB55" s="5"/>
      <c r="AC55" s="5"/>
      <c r="AD55" s="5"/>
    </row>
    <row r="56" spans="2:30" ht="15.75" x14ac:dyDescent="0.25">
      <c r="B56" s="2">
        <v>33</v>
      </c>
      <c r="C56" s="120">
        <f>'IAT-1'!C58</f>
        <v>951323243033</v>
      </c>
      <c r="D56" s="119" t="str">
        <f>'IAT-1'!D58</f>
        <v>LIJO DURAISINGH V S</v>
      </c>
      <c r="E56" s="3"/>
      <c r="F56" s="274">
        <f>'IAT-1'!Q58</f>
        <v>69.599999999999994</v>
      </c>
      <c r="G56" s="274">
        <f>'IAT-1'!S58</f>
        <v>50</v>
      </c>
      <c r="H56" s="274">
        <f>'IAT-1'!U58</f>
        <v>88.9</v>
      </c>
      <c r="I56" s="274">
        <f>'IAT-1'!W58</f>
        <v>0</v>
      </c>
      <c r="J56" s="274">
        <f>'IAT-1'!Y58</f>
        <v>0</v>
      </c>
      <c r="K56" s="274">
        <f>'IAT-2'!Q58</f>
        <v>0</v>
      </c>
      <c r="L56" s="274">
        <f>'IAT-2'!S58</f>
        <v>0</v>
      </c>
      <c r="M56" s="274">
        <f>'IAT-2'!U58</f>
        <v>55.6</v>
      </c>
      <c r="N56" s="274">
        <f>'IAT-2'!W58</f>
        <v>22.2</v>
      </c>
      <c r="O56" s="274">
        <f>'IAT-2'!Y58</f>
        <v>82.6</v>
      </c>
      <c r="P56" s="263">
        <f t="shared" si="5"/>
        <v>69.599999999999994</v>
      </c>
      <c r="Q56" s="263">
        <f t="shared" si="6"/>
        <v>50</v>
      </c>
      <c r="R56" s="263">
        <f t="shared" si="4"/>
        <v>72.25</v>
      </c>
      <c r="S56" s="263">
        <f t="shared" si="7"/>
        <v>22.2</v>
      </c>
      <c r="T56" s="263">
        <f t="shared" si="8"/>
        <v>82.6</v>
      </c>
      <c r="U56" s="104"/>
      <c r="V56" s="5"/>
      <c r="W56" s="5"/>
      <c r="X56" s="5"/>
      <c r="Y56" s="5"/>
      <c r="Z56" s="5"/>
      <c r="AA56" s="5"/>
      <c r="AB56" s="5"/>
      <c r="AC56" s="5"/>
      <c r="AD56" s="5"/>
    </row>
    <row r="57" spans="2:30" ht="15.75" x14ac:dyDescent="0.25">
      <c r="B57" s="2">
        <v>34</v>
      </c>
      <c r="C57" s="120">
        <f>'IAT-1'!C59</f>
        <v>951323243034</v>
      </c>
      <c r="D57" s="119" t="str">
        <f>'IAT-1'!D59</f>
        <v>LOVISAL JOY K</v>
      </c>
      <c r="E57" s="3"/>
      <c r="F57" s="274">
        <f>'IAT-1'!Q59</f>
        <v>91.3</v>
      </c>
      <c r="G57" s="274">
        <f>'IAT-1'!S59</f>
        <v>100</v>
      </c>
      <c r="H57" s="274">
        <f>'IAT-1'!U59</f>
        <v>88.9</v>
      </c>
      <c r="I57" s="274">
        <f>'IAT-1'!W59</f>
        <v>0</v>
      </c>
      <c r="J57" s="274">
        <f>'IAT-1'!Y59</f>
        <v>0</v>
      </c>
      <c r="K57" s="274">
        <f>'IAT-2'!Q59</f>
        <v>0</v>
      </c>
      <c r="L57" s="274">
        <f>'IAT-2'!S59</f>
        <v>0</v>
      </c>
      <c r="M57" s="274">
        <f>'IAT-2'!U59</f>
        <v>100</v>
      </c>
      <c r="N57" s="274">
        <f>'IAT-2'!W59</f>
        <v>77.8</v>
      </c>
      <c r="O57" s="274">
        <f>'IAT-2'!Y59</f>
        <v>87</v>
      </c>
      <c r="P57" s="263">
        <f t="shared" si="5"/>
        <v>91.3</v>
      </c>
      <c r="Q57" s="263">
        <f t="shared" si="6"/>
        <v>100</v>
      </c>
      <c r="R57" s="263">
        <f t="shared" si="4"/>
        <v>94.45</v>
      </c>
      <c r="S57" s="263">
        <f t="shared" si="7"/>
        <v>77.8</v>
      </c>
      <c r="T57" s="263">
        <f t="shared" si="8"/>
        <v>87</v>
      </c>
      <c r="U57" s="104"/>
      <c r="V57" s="5"/>
      <c r="W57" s="5"/>
      <c r="X57" s="5"/>
      <c r="Y57" s="5"/>
      <c r="Z57" s="5"/>
      <c r="AA57" s="5"/>
      <c r="AB57" s="5"/>
      <c r="AC57" s="5"/>
      <c r="AD57" s="5"/>
    </row>
    <row r="58" spans="2:30" ht="15.75" x14ac:dyDescent="0.25">
      <c r="B58" s="2">
        <v>35</v>
      </c>
      <c r="C58" s="120">
        <f>'IAT-1'!C60</f>
        <v>951323243035</v>
      </c>
      <c r="D58" s="119" t="str">
        <f>'IAT-1'!D60</f>
        <v>MAGESH GOWRI S</v>
      </c>
      <c r="E58" s="3"/>
      <c r="F58" s="274">
        <f>'IAT-1'!Q60</f>
        <v>56.5</v>
      </c>
      <c r="G58" s="274">
        <f>'IAT-1'!S60</f>
        <v>94.4</v>
      </c>
      <c r="H58" s="274">
        <f>'IAT-1'!U60</f>
        <v>77.8</v>
      </c>
      <c r="I58" s="274">
        <f>'IAT-1'!W60</f>
        <v>0</v>
      </c>
      <c r="J58" s="274">
        <f>'IAT-1'!Y60</f>
        <v>0</v>
      </c>
      <c r="K58" s="274">
        <f>'IAT-2'!Q60</f>
        <v>0</v>
      </c>
      <c r="L58" s="274">
        <f>'IAT-2'!S60</f>
        <v>0</v>
      </c>
      <c r="M58" s="274">
        <f>'IAT-2'!U60</f>
        <v>88.9</v>
      </c>
      <c r="N58" s="274">
        <f>'IAT-2'!W60</f>
        <v>88.9</v>
      </c>
      <c r="O58" s="274">
        <f>'IAT-2'!Y60</f>
        <v>69.599999999999994</v>
      </c>
      <c r="P58" s="263">
        <f t="shared" si="5"/>
        <v>56.5</v>
      </c>
      <c r="Q58" s="263">
        <f t="shared" si="6"/>
        <v>94.4</v>
      </c>
      <c r="R58" s="263">
        <f t="shared" si="4"/>
        <v>83.35</v>
      </c>
      <c r="S58" s="263">
        <f t="shared" si="7"/>
        <v>88.9</v>
      </c>
      <c r="T58" s="263">
        <f t="shared" si="8"/>
        <v>69.599999999999994</v>
      </c>
      <c r="U58" s="104"/>
      <c r="V58" s="5"/>
      <c r="W58" s="5"/>
      <c r="X58" s="5"/>
      <c r="Y58" s="5"/>
      <c r="Z58" s="5"/>
      <c r="AA58" s="5"/>
      <c r="AB58" s="5"/>
      <c r="AC58" s="5"/>
      <c r="AD58" s="5"/>
    </row>
    <row r="59" spans="2:30" ht="15.75" x14ac:dyDescent="0.25">
      <c r="B59" s="2">
        <v>36</v>
      </c>
      <c r="C59" s="120">
        <f>'IAT-1'!C61</f>
        <v>951323243036</v>
      </c>
      <c r="D59" s="119" t="str">
        <f>'IAT-1'!D61</f>
        <v>MARIMUTHU S</v>
      </c>
      <c r="E59" s="3"/>
      <c r="F59" s="274">
        <f>'IAT-1'!Q61</f>
        <v>65.2</v>
      </c>
      <c r="G59" s="274">
        <f>'IAT-1'!S61</f>
        <v>44.4</v>
      </c>
      <c r="H59" s="274">
        <f>'IAT-1'!U61</f>
        <v>77.8</v>
      </c>
      <c r="I59" s="274">
        <f>'IAT-1'!W61</f>
        <v>0</v>
      </c>
      <c r="J59" s="274">
        <f>'IAT-1'!Y61</f>
        <v>0</v>
      </c>
      <c r="K59" s="274">
        <f>'IAT-2'!Q61</f>
        <v>0</v>
      </c>
      <c r="L59" s="274">
        <f>'IAT-2'!S61</f>
        <v>0</v>
      </c>
      <c r="M59" s="274">
        <f>'IAT-2'!U61</f>
        <v>22.2</v>
      </c>
      <c r="N59" s="274">
        <f>'IAT-2'!W61</f>
        <v>16.7</v>
      </c>
      <c r="O59" s="274">
        <f>'IAT-2'!Y61</f>
        <v>73.900000000000006</v>
      </c>
      <c r="P59" s="263">
        <f t="shared" si="5"/>
        <v>0</v>
      </c>
      <c r="Q59" s="263">
        <f t="shared" si="6"/>
        <v>0</v>
      </c>
      <c r="R59" s="263">
        <f t="shared" si="4"/>
        <v>50</v>
      </c>
      <c r="S59" s="263">
        <f t="shared" si="7"/>
        <v>16.7</v>
      </c>
      <c r="T59" s="263">
        <f t="shared" si="8"/>
        <v>73.900000000000006</v>
      </c>
      <c r="U59" s="104"/>
      <c r="V59" s="5"/>
      <c r="W59" s="5"/>
      <c r="X59" s="5"/>
      <c r="Y59" s="5"/>
      <c r="Z59" s="5"/>
      <c r="AA59" s="5"/>
      <c r="AB59" s="5"/>
      <c r="AC59" s="5"/>
      <c r="AD59" s="5"/>
    </row>
    <row r="60" spans="2:30" ht="15.75" x14ac:dyDescent="0.25">
      <c r="B60" s="2">
        <v>37</v>
      </c>
      <c r="C60" s="120">
        <f>'IAT-1'!C62</f>
        <v>951323243037</v>
      </c>
      <c r="D60" s="119" t="str">
        <f>'IAT-1'!D62</f>
        <v>MARIYA FATHIMA JEYARANI R</v>
      </c>
      <c r="E60" s="3"/>
      <c r="F60" s="274">
        <f>'IAT-1'!Q62</f>
        <v>0</v>
      </c>
      <c r="G60" s="274">
        <f>'IAT-1'!S62</f>
        <v>0</v>
      </c>
      <c r="H60" s="274">
        <f>'IAT-1'!U62</f>
        <v>0</v>
      </c>
      <c r="I60" s="274">
        <f>'IAT-1'!W62</f>
        <v>0</v>
      </c>
      <c r="J60" s="274">
        <f>'IAT-1'!Y62</f>
        <v>0</v>
      </c>
      <c r="K60" s="274">
        <f>'IAT-2'!Q62</f>
        <v>0</v>
      </c>
      <c r="L60" s="274">
        <f>'IAT-2'!S62</f>
        <v>0</v>
      </c>
      <c r="M60" s="274">
        <f>'IAT-2'!U62</f>
        <v>88.9</v>
      </c>
      <c r="N60" s="274">
        <f>'IAT-2'!W62</f>
        <v>66.7</v>
      </c>
      <c r="O60" s="274">
        <f>'IAT-2'!Y62</f>
        <v>69.599999999999994</v>
      </c>
      <c r="P60" s="263">
        <f t="shared" si="5"/>
        <v>0</v>
      </c>
      <c r="Q60" s="263">
        <f t="shared" si="6"/>
        <v>0</v>
      </c>
      <c r="R60" s="263">
        <f t="shared" si="4"/>
        <v>44.45</v>
      </c>
      <c r="S60" s="263">
        <f t="shared" si="7"/>
        <v>66.7</v>
      </c>
      <c r="T60" s="263">
        <f t="shared" si="8"/>
        <v>69.599999999999994</v>
      </c>
      <c r="U60" s="104"/>
      <c r="V60" s="5"/>
      <c r="W60" s="5"/>
      <c r="X60" s="5"/>
      <c r="Y60" s="5"/>
      <c r="Z60" s="5"/>
      <c r="AA60" s="5"/>
      <c r="AB60" s="5"/>
      <c r="AC60" s="5"/>
      <c r="AD60" s="5"/>
    </row>
    <row r="61" spans="2:30" ht="15.75" x14ac:dyDescent="0.25">
      <c r="B61" s="2">
        <v>38</v>
      </c>
      <c r="C61" s="120">
        <f>'IAT-1'!C63</f>
        <v>951323243038</v>
      </c>
      <c r="D61" s="119" t="str">
        <f>'IAT-1'!D63</f>
        <v>MARTIN PRISCA D</v>
      </c>
      <c r="E61" s="3"/>
      <c r="F61" s="274">
        <f>'IAT-1'!Q63</f>
        <v>52.2</v>
      </c>
      <c r="G61" s="274">
        <f>'IAT-1'!S63</f>
        <v>77.8</v>
      </c>
      <c r="H61" s="274">
        <f>'IAT-1'!U63</f>
        <v>77.8</v>
      </c>
      <c r="I61" s="274">
        <f>'IAT-1'!W63</f>
        <v>0</v>
      </c>
      <c r="J61" s="274">
        <f>'IAT-1'!Y63</f>
        <v>0</v>
      </c>
      <c r="K61" s="274">
        <f>'IAT-2'!Q63</f>
        <v>0</v>
      </c>
      <c r="L61" s="274">
        <f>'IAT-2'!S63</f>
        <v>0</v>
      </c>
      <c r="M61" s="274">
        <f>'IAT-2'!U63</f>
        <v>66.7</v>
      </c>
      <c r="N61" s="274">
        <f>'IAT-2'!W63</f>
        <v>55.6</v>
      </c>
      <c r="O61" s="274">
        <f>'IAT-2'!Y63</f>
        <v>60.9</v>
      </c>
      <c r="P61" s="263">
        <f t="shared" si="5"/>
        <v>52.2</v>
      </c>
      <c r="Q61" s="263">
        <f t="shared" si="6"/>
        <v>77.8</v>
      </c>
      <c r="R61" s="263">
        <f t="shared" si="4"/>
        <v>72.25</v>
      </c>
      <c r="S61" s="263">
        <f t="shared" si="7"/>
        <v>55.6</v>
      </c>
      <c r="T61" s="263">
        <f t="shared" si="8"/>
        <v>60.9</v>
      </c>
      <c r="U61" s="104"/>
      <c r="V61" s="5"/>
      <c r="W61" s="5"/>
      <c r="X61" s="5"/>
      <c r="Y61" s="5"/>
      <c r="Z61" s="5"/>
      <c r="AA61" s="5"/>
      <c r="AB61" s="5"/>
      <c r="AC61" s="5"/>
      <c r="AD61" s="5"/>
    </row>
    <row r="62" spans="2:30" ht="15.75" x14ac:dyDescent="0.25">
      <c r="B62" s="2">
        <v>39</v>
      </c>
      <c r="C62" s="120">
        <f>'IAT-1'!C64</f>
        <v>951323243039</v>
      </c>
      <c r="D62" s="119" t="str">
        <f>'IAT-1'!D64</f>
        <v>MERLIN HEPSIBA K</v>
      </c>
      <c r="E62" s="3"/>
      <c r="F62" s="274">
        <f>'IAT-1'!Q64</f>
        <v>100</v>
      </c>
      <c r="G62" s="274">
        <f>'IAT-1'!S64</f>
        <v>88.9</v>
      </c>
      <c r="H62" s="274">
        <f>'IAT-1'!U64</f>
        <v>88.9</v>
      </c>
      <c r="I62" s="274">
        <f>'IAT-1'!W64</f>
        <v>0</v>
      </c>
      <c r="J62" s="274">
        <f>'IAT-1'!Y64</f>
        <v>0</v>
      </c>
      <c r="K62" s="274">
        <f>'IAT-2'!Q64</f>
        <v>0</v>
      </c>
      <c r="L62" s="274">
        <f>'IAT-2'!S64</f>
        <v>0</v>
      </c>
      <c r="M62" s="274">
        <f>'IAT-2'!U64</f>
        <v>88.9</v>
      </c>
      <c r="N62" s="274">
        <f>'IAT-2'!W64</f>
        <v>88.9</v>
      </c>
      <c r="O62" s="274">
        <f>'IAT-2'!Y64</f>
        <v>91.3</v>
      </c>
      <c r="P62" s="263">
        <f t="shared" si="5"/>
        <v>100</v>
      </c>
      <c r="Q62" s="263">
        <f t="shared" si="6"/>
        <v>88.9</v>
      </c>
      <c r="R62" s="263">
        <f t="shared" si="4"/>
        <v>88.9</v>
      </c>
      <c r="S62" s="263">
        <f t="shared" si="7"/>
        <v>88.9</v>
      </c>
      <c r="T62" s="263">
        <f t="shared" si="8"/>
        <v>91.3</v>
      </c>
      <c r="U62" s="104"/>
      <c r="V62" s="5"/>
      <c r="W62" s="5"/>
      <c r="X62" s="5"/>
      <c r="Y62" s="5"/>
      <c r="Z62" s="5"/>
      <c r="AA62" s="5"/>
      <c r="AB62" s="5"/>
      <c r="AC62" s="5"/>
      <c r="AD62" s="5"/>
    </row>
    <row r="63" spans="2:30" ht="15.75" x14ac:dyDescent="0.25">
      <c r="B63" s="2">
        <v>40</v>
      </c>
      <c r="C63" s="120">
        <f>'IAT-1'!C65</f>
        <v>951323243042</v>
      </c>
      <c r="D63" s="119" t="str">
        <f>'IAT-1'!D65</f>
        <v>MUTHUPRASANNA M</v>
      </c>
      <c r="E63" s="3"/>
      <c r="F63" s="274">
        <f>'IAT-1'!Q65</f>
        <v>87</v>
      </c>
      <c r="G63" s="274">
        <f>'IAT-1'!S65</f>
        <v>66.7</v>
      </c>
      <c r="H63" s="274">
        <f>'IAT-1'!U65</f>
        <v>88.9</v>
      </c>
      <c r="I63" s="274">
        <f>'IAT-1'!W65</f>
        <v>0</v>
      </c>
      <c r="J63" s="274">
        <f>'IAT-1'!Y65</f>
        <v>0</v>
      </c>
      <c r="K63" s="274">
        <f>'IAT-2'!Q65</f>
        <v>0</v>
      </c>
      <c r="L63" s="274">
        <f>'IAT-2'!S65</f>
        <v>0</v>
      </c>
      <c r="M63" s="274">
        <f>'IAT-2'!U65</f>
        <v>100</v>
      </c>
      <c r="N63" s="274">
        <f>'IAT-2'!W65</f>
        <v>88.9</v>
      </c>
      <c r="O63" s="274">
        <f>'IAT-2'!Y65</f>
        <v>95.7</v>
      </c>
      <c r="P63" s="263">
        <f t="shared" si="5"/>
        <v>87</v>
      </c>
      <c r="Q63" s="263">
        <f t="shared" si="6"/>
        <v>66.7</v>
      </c>
      <c r="R63" s="263">
        <f t="shared" si="4"/>
        <v>94.45</v>
      </c>
      <c r="S63" s="263">
        <f t="shared" si="7"/>
        <v>88.9</v>
      </c>
      <c r="T63" s="263">
        <f t="shared" si="8"/>
        <v>95.7</v>
      </c>
      <c r="U63" s="104"/>
      <c r="V63" s="5"/>
      <c r="W63" s="5"/>
      <c r="X63" s="5"/>
      <c r="Y63" s="5"/>
      <c r="Z63" s="5"/>
      <c r="AA63" s="5"/>
      <c r="AB63" s="5"/>
      <c r="AC63" s="5"/>
      <c r="AD63" s="5"/>
    </row>
    <row r="64" spans="2:30" ht="15.75" x14ac:dyDescent="0.25">
      <c r="B64" s="2">
        <v>41</v>
      </c>
      <c r="C64" s="120">
        <f>'IAT-1'!C66</f>
        <v>951323243043</v>
      </c>
      <c r="D64" s="119" t="str">
        <f>'IAT-1'!D66</f>
        <v>MUTHURAJ M</v>
      </c>
      <c r="E64" s="3"/>
      <c r="F64" s="274">
        <f>'IAT-1'!Q66</f>
        <v>52.2</v>
      </c>
      <c r="G64" s="274">
        <f>'IAT-1'!S66</f>
        <v>50</v>
      </c>
      <c r="H64" s="274">
        <f>'IAT-1'!U66</f>
        <v>66.7</v>
      </c>
      <c r="I64" s="274">
        <f>'IAT-1'!W66</f>
        <v>0</v>
      </c>
      <c r="J64" s="274">
        <f>'IAT-1'!Y66</f>
        <v>0</v>
      </c>
      <c r="K64" s="274">
        <f>'IAT-2'!Q66</f>
        <v>0</v>
      </c>
      <c r="L64" s="274">
        <f>'IAT-2'!S66</f>
        <v>0</v>
      </c>
      <c r="M64" s="274">
        <f>'IAT-2'!U66</f>
        <v>22.2</v>
      </c>
      <c r="N64" s="274">
        <f>'IAT-2'!W66</f>
        <v>16.7</v>
      </c>
      <c r="O64" s="274">
        <f>'IAT-2'!Y66</f>
        <v>73.900000000000006</v>
      </c>
      <c r="P64" s="263">
        <f t="shared" si="5"/>
        <v>52.2</v>
      </c>
      <c r="Q64" s="263">
        <f t="shared" si="6"/>
        <v>50</v>
      </c>
      <c r="R64" s="263">
        <f t="shared" si="4"/>
        <v>44.45</v>
      </c>
      <c r="S64" s="263">
        <f t="shared" si="7"/>
        <v>16.7</v>
      </c>
      <c r="T64" s="263">
        <f t="shared" si="8"/>
        <v>73.900000000000006</v>
      </c>
      <c r="U64" s="104"/>
      <c r="V64" s="5"/>
      <c r="W64" s="5"/>
      <c r="X64" s="5"/>
      <c r="Y64" s="5"/>
      <c r="Z64" s="5"/>
      <c r="AA64" s="5"/>
      <c r="AB64" s="5"/>
      <c r="AC64" s="5"/>
      <c r="AD64" s="5"/>
    </row>
    <row r="65" spans="2:30" ht="15.75" x14ac:dyDescent="0.25">
      <c r="B65" s="2">
        <v>42</v>
      </c>
      <c r="C65" s="120">
        <f>'IAT-1'!C67</f>
        <v>951323243045</v>
      </c>
      <c r="D65" s="119" t="str">
        <f>'IAT-1'!D67</f>
        <v>PONKEERTHANA B</v>
      </c>
      <c r="E65" s="3"/>
      <c r="F65" s="274">
        <f>'IAT-1'!Q67</f>
        <v>82.6</v>
      </c>
      <c r="G65" s="274">
        <f>'IAT-1'!S67</f>
        <v>16.7</v>
      </c>
      <c r="H65" s="274">
        <f>'IAT-1'!U67</f>
        <v>88.9</v>
      </c>
      <c r="I65" s="274">
        <f>'IAT-1'!W67</f>
        <v>0</v>
      </c>
      <c r="J65" s="274">
        <f>'IAT-1'!Y67</f>
        <v>0</v>
      </c>
      <c r="K65" s="274">
        <f>'IAT-2'!Q67</f>
        <v>0</v>
      </c>
      <c r="L65" s="274">
        <f>'IAT-2'!S67</f>
        <v>0</v>
      </c>
      <c r="M65" s="274">
        <f>'IAT-2'!U67</f>
        <v>33.299999999999997</v>
      </c>
      <c r="N65" s="274">
        <f>'IAT-2'!W67</f>
        <v>16.7</v>
      </c>
      <c r="O65" s="274">
        <f>'IAT-2'!Y67</f>
        <v>95.7</v>
      </c>
      <c r="P65" s="263">
        <f t="shared" si="5"/>
        <v>82.6</v>
      </c>
      <c r="Q65" s="263">
        <f t="shared" si="6"/>
        <v>16.7</v>
      </c>
      <c r="R65" s="263">
        <f t="shared" si="4"/>
        <v>61.1</v>
      </c>
      <c r="S65" s="263">
        <f t="shared" si="7"/>
        <v>16.7</v>
      </c>
      <c r="T65" s="263">
        <f t="shared" si="8"/>
        <v>95.7</v>
      </c>
      <c r="U65" s="104"/>
      <c r="V65" s="5"/>
      <c r="W65" s="5"/>
      <c r="X65" s="5"/>
      <c r="Y65" s="5"/>
      <c r="Z65" s="5"/>
      <c r="AA65" s="5"/>
      <c r="AB65" s="5"/>
      <c r="AC65" s="5"/>
      <c r="AD65" s="5"/>
    </row>
    <row r="66" spans="2:30" ht="15.75" x14ac:dyDescent="0.25">
      <c r="B66" s="2">
        <v>43</v>
      </c>
      <c r="C66" s="120">
        <f>'IAT-1'!C68</f>
        <v>951323243046</v>
      </c>
      <c r="D66" s="119" t="str">
        <f>'IAT-1'!D68</f>
        <v>POORANATRIFFIE P</v>
      </c>
      <c r="E66" s="3"/>
      <c r="F66" s="274">
        <f>'IAT-1'!Q68</f>
        <v>87</v>
      </c>
      <c r="G66" s="274">
        <f>'IAT-1'!S68</f>
        <v>88.9</v>
      </c>
      <c r="H66" s="274">
        <f>'IAT-1'!U68</f>
        <v>77.8</v>
      </c>
      <c r="I66" s="274">
        <f>'IAT-1'!W68</f>
        <v>0</v>
      </c>
      <c r="J66" s="274">
        <f>'IAT-1'!Y68</f>
        <v>0</v>
      </c>
      <c r="K66" s="274">
        <f>'IAT-2'!Q68</f>
        <v>0</v>
      </c>
      <c r="L66" s="274">
        <f>'IAT-2'!S68</f>
        <v>0</v>
      </c>
      <c r="M66" s="274">
        <f>'IAT-2'!U68</f>
        <v>55.6</v>
      </c>
      <c r="N66" s="274">
        <f>'IAT-2'!W68</f>
        <v>77.8</v>
      </c>
      <c r="O66" s="274">
        <f>'IAT-2'!Y68</f>
        <v>91.3</v>
      </c>
      <c r="P66" s="263">
        <f t="shared" si="5"/>
        <v>87</v>
      </c>
      <c r="Q66" s="263">
        <f t="shared" si="6"/>
        <v>88.9</v>
      </c>
      <c r="R66" s="263">
        <f t="shared" si="4"/>
        <v>66.7</v>
      </c>
      <c r="S66" s="263">
        <f t="shared" si="7"/>
        <v>77.8</v>
      </c>
      <c r="T66" s="263">
        <f t="shared" si="8"/>
        <v>91.3</v>
      </c>
      <c r="U66" s="104"/>
      <c r="V66" s="5"/>
      <c r="W66" s="5"/>
      <c r="X66" s="5"/>
      <c r="Y66" s="5"/>
      <c r="Z66" s="5"/>
      <c r="AA66" s="5"/>
      <c r="AB66" s="5"/>
      <c r="AC66" s="5"/>
      <c r="AD66" s="5"/>
    </row>
    <row r="67" spans="2:30" ht="15.75" x14ac:dyDescent="0.25">
      <c r="B67" s="2">
        <v>44</v>
      </c>
      <c r="C67" s="120">
        <f>'IAT-1'!C69</f>
        <v>951323243047</v>
      </c>
      <c r="D67" s="119" t="str">
        <f>'IAT-1'!D69</f>
        <v>RACKLAND T</v>
      </c>
      <c r="E67" s="6"/>
      <c r="F67" s="274">
        <f>'IAT-1'!Q69</f>
        <v>82.6</v>
      </c>
      <c r="G67" s="274">
        <f>'IAT-1'!S69</f>
        <v>50</v>
      </c>
      <c r="H67" s="274">
        <f>'IAT-1'!U69</f>
        <v>77.8</v>
      </c>
      <c r="I67" s="274">
        <f>'IAT-1'!W69</f>
        <v>0</v>
      </c>
      <c r="J67" s="274">
        <f>'IAT-1'!Y69</f>
        <v>0</v>
      </c>
      <c r="K67" s="274">
        <f>'IAT-2'!Q69</f>
        <v>0</v>
      </c>
      <c r="L67" s="274">
        <f>'IAT-2'!S69</f>
        <v>0</v>
      </c>
      <c r="M67" s="274">
        <f>'IAT-2'!U69</f>
        <v>77.8</v>
      </c>
      <c r="N67" s="274">
        <f>'IAT-2'!W69</f>
        <v>16.7</v>
      </c>
      <c r="O67" s="274">
        <f>'IAT-2'!Y69</f>
        <v>73.900000000000006</v>
      </c>
      <c r="P67" s="263">
        <f t="shared" si="5"/>
        <v>82.6</v>
      </c>
      <c r="Q67" s="263">
        <f t="shared" si="6"/>
        <v>0</v>
      </c>
      <c r="R67" s="263">
        <f t="shared" si="4"/>
        <v>77.8</v>
      </c>
      <c r="S67" s="263">
        <f t="shared" si="7"/>
        <v>16.7</v>
      </c>
      <c r="T67" s="263">
        <f t="shared" si="8"/>
        <v>73.900000000000006</v>
      </c>
      <c r="U67" s="104"/>
      <c r="V67" s="5"/>
      <c r="W67" s="5"/>
      <c r="X67" s="5"/>
      <c r="Y67" s="5"/>
      <c r="Z67" s="5"/>
      <c r="AA67" s="5"/>
      <c r="AB67" s="5"/>
      <c r="AC67" s="5"/>
      <c r="AD67" s="5"/>
    </row>
    <row r="68" spans="2:30" ht="15.75" x14ac:dyDescent="0.25">
      <c r="B68" s="2">
        <v>45</v>
      </c>
      <c r="C68" s="120">
        <f>'IAT-1'!C70</f>
        <v>951323243048</v>
      </c>
      <c r="D68" s="119" t="str">
        <f>'IAT-1'!D70</f>
        <v>RAJA SUNDAR K</v>
      </c>
      <c r="E68" s="3"/>
      <c r="F68" s="274">
        <f>'IAT-1'!Q70</f>
        <v>30.4</v>
      </c>
      <c r="G68" s="274">
        <f>'IAT-1'!S70</f>
        <v>0</v>
      </c>
      <c r="H68" s="274">
        <f>'IAT-1'!U70</f>
        <v>0</v>
      </c>
      <c r="I68" s="274">
        <f>'IAT-1'!W70</f>
        <v>0</v>
      </c>
      <c r="J68" s="274">
        <f>'IAT-1'!Y70</f>
        <v>0</v>
      </c>
      <c r="K68" s="274">
        <f>'IAT-2'!Q70</f>
        <v>0</v>
      </c>
      <c r="L68" s="274">
        <f>'IAT-2'!S70</f>
        <v>0</v>
      </c>
      <c r="M68" s="274">
        <f>'IAT-2'!U70</f>
        <v>66.7</v>
      </c>
      <c r="N68" s="274">
        <f>'IAT-2'!W70</f>
        <v>11.1</v>
      </c>
      <c r="O68" s="274">
        <f>'IAT-2'!Y70</f>
        <v>52.2</v>
      </c>
      <c r="P68" s="263">
        <f t="shared" si="5"/>
        <v>0</v>
      </c>
      <c r="Q68" s="263">
        <f t="shared" si="6"/>
        <v>0</v>
      </c>
      <c r="R68" s="263">
        <f t="shared" si="4"/>
        <v>33.35</v>
      </c>
      <c r="S68" s="263">
        <f t="shared" si="7"/>
        <v>11.1</v>
      </c>
      <c r="T68" s="263">
        <f t="shared" si="8"/>
        <v>52.2</v>
      </c>
      <c r="U68" s="104"/>
      <c r="V68" s="5"/>
      <c r="W68" s="5"/>
      <c r="X68" s="5"/>
      <c r="Y68" s="5"/>
      <c r="Z68" s="5"/>
      <c r="AA68" s="5"/>
      <c r="AB68" s="5"/>
      <c r="AC68" s="5"/>
      <c r="AD68" s="5"/>
    </row>
    <row r="69" spans="2:30" ht="15.75" x14ac:dyDescent="0.25">
      <c r="B69" s="2">
        <v>46</v>
      </c>
      <c r="C69" s="120">
        <f>'IAT-1'!C71</f>
        <v>951323243049</v>
      </c>
      <c r="D69" s="119" t="str">
        <f>'IAT-1'!D71</f>
        <v>RAMALINGAM B</v>
      </c>
      <c r="E69" s="3"/>
      <c r="F69" s="274">
        <f>'IAT-1'!Q71</f>
        <v>0</v>
      </c>
      <c r="G69" s="274">
        <f>'IAT-1'!S71</f>
        <v>0</v>
      </c>
      <c r="H69" s="274">
        <f>'IAT-1'!U71</f>
        <v>0</v>
      </c>
      <c r="I69" s="274">
        <f>'IAT-1'!W71</f>
        <v>0</v>
      </c>
      <c r="J69" s="274">
        <f>'IAT-1'!Y71</f>
        <v>0</v>
      </c>
      <c r="K69" s="274">
        <f>'IAT-2'!Q71</f>
        <v>0</v>
      </c>
      <c r="L69" s="274">
        <f>'IAT-2'!S71</f>
        <v>0</v>
      </c>
      <c r="M69" s="274">
        <f>'IAT-2'!U71</f>
        <v>22.2</v>
      </c>
      <c r="N69" s="274">
        <f>'IAT-2'!W71</f>
        <v>22.2</v>
      </c>
      <c r="O69" s="274">
        <f>'IAT-2'!Y71</f>
        <v>17.399999999999999</v>
      </c>
      <c r="P69" s="263">
        <f t="shared" si="5"/>
        <v>0</v>
      </c>
      <c r="Q69" s="263">
        <f t="shared" si="6"/>
        <v>0</v>
      </c>
      <c r="R69" s="263">
        <f t="shared" si="4"/>
        <v>11.1</v>
      </c>
      <c r="S69" s="263">
        <f t="shared" si="7"/>
        <v>22.2</v>
      </c>
      <c r="T69" s="263">
        <f t="shared" si="8"/>
        <v>17.399999999999999</v>
      </c>
      <c r="U69" s="104"/>
      <c r="V69" s="5"/>
      <c r="W69" s="5"/>
      <c r="X69" s="5"/>
      <c r="Y69" s="5"/>
      <c r="Z69" s="5"/>
      <c r="AA69" s="5"/>
      <c r="AB69" s="5"/>
      <c r="AC69" s="5"/>
      <c r="AD69" s="5"/>
    </row>
    <row r="70" spans="2:30" ht="15.75" x14ac:dyDescent="0.25">
      <c r="B70" s="2">
        <v>47</v>
      </c>
      <c r="C70" s="120">
        <f>'IAT-1'!C72</f>
        <v>951323243050</v>
      </c>
      <c r="D70" s="119" t="str">
        <f>'IAT-1'!D72</f>
        <v>SELVAM GRACELIN S</v>
      </c>
      <c r="E70" s="3"/>
      <c r="F70" s="274">
        <f>'IAT-1'!Q72</f>
        <v>91.3</v>
      </c>
      <c r="G70" s="274">
        <f>'IAT-1'!S72</f>
        <v>88.9</v>
      </c>
      <c r="H70" s="274">
        <f>'IAT-1'!U72</f>
        <v>88.9</v>
      </c>
      <c r="I70" s="274">
        <f>'IAT-1'!W72</f>
        <v>0</v>
      </c>
      <c r="J70" s="274">
        <f>'IAT-1'!Y72</f>
        <v>0</v>
      </c>
      <c r="K70" s="274">
        <f>'IAT-2'!Q72</f>
        <v>0</v>
      </c>
      <c r="L70" s="274">
        <f>'IAT-2'!S72</f>
        <v>0</v>
      </c>
      <c r="M70" s="274">
        <f>'IAT-2'!U72</f>
        <v>88.9</v>
      </c>
      <c r="N70" s="274">
        <f>'IAT-2'!W72</f>
        <v>88.9</v>
      </c>
      <c r="O70" s="274">
        <f>'IAT-2'!Y72</f>
        <v>95.7</v>
      </c>
      <c r="P70" s="263">
        <f t="shared" si="5"/>
        <v>0</v>
      </c>
      <c r="Q70" s="263">
        <f t="shared" si="6"/>
        <v>88.9</v>
      </c>
      <c r="R70" s="263">
        <f t="shared" si="4"/>
        <v>88.9</v>
      </c>
      <c r="S70" s="263">
        <f t="shared" si="7"/>
        <v>88.9</v>
      </c>
      <c r="T70" s="263">
        <f t="shared" si="8"/>
        <v>0</v>
      </c>
      <c r="U70" s="104"/>
      <c r="V70" s="5"/>
      <c r="W70" s="5"/>
      <c r="X70" s="5"/>
      <c r="Y70" s="5"/>
      <c r="Z70" s="5"/>
      <c r="AA70" s="5"/>
      <c r="AB70" s="5"/>
      <c r="AC70" s="5"/>
      <c r="AD70" s="5"/>
    </row>
    <row r="71" spans="2:30" ht="15.75" x14ac:dyDescent="0.25">
      <c r="B71" s="2">
        <v>48</v>
      </c>
      <c r="C71" s="120">
        <f>'IAT-1'!C73</f>
        <v>951323243051</v>
      </c>
      <c r="D71" s="119" t="str">
        <f>'IAT-1'!D73</f>
        <v>SHANKAR V</v>
      </c>
      <c r="E71" s="3"/>
      <c r="F71" s="274">
        <f>'IAT-1'!Q73</f>
        <v>0</v>
      </c>
      <c r="G71" s="274">
        <f>'IAT-1'!S73</f>
        <v>38.9</v>
      </c>
      <c r="H71" s="274">
        <f>'IAT-1'!U73</f>
        <v>44.4</v>
      </c>
      <c r="I71" s="274">
        <f>'IAT-1'!W73</f>
        <v>0</v>
      </c>
      <c r="J71" s="274">
        <f>'IAT-1'!Y73</f>
        <v>0</v>
      </c>
      <c r="K71" s="274">
        <f>'IAT-2'!Q73</f>
        <v>0</v>
      </c>
      <c r="L71" s="274">
        <f>'IAT-2'!S73</f>
        <v>0</v>
      </c>
      <c r="M71" s="274">
        <f>'IAT-2'!U73</f>
        <v>11.1</v>
      </c>
      <c r="N71" s="274">
        <f>'IAT-2'!W73</f>
        <v>5.6</v>
      </c>
      <c r="O71" s="274">
        <f>'IAT-2'!Y73</f>
        <v>0</v>
      </c>
      <c r="P71" s="263">
        <f t="shared" si="5"/>
        <v>0</v>
      </c>
      <c r="Q71" s="263">
        <f t="shared" si="6"/>
        <v>38.9</v>
      </c>
      <c r="R71" s="263">
        <f t="shared" si="4"/>
        <v>27.75</v>
      </c>
      <c r="S71" s="263">
        <f t="shared" si="7"/>
        <v>5.6</v>
      </c>
      <c r="T71" s="263">
        <f t="shared" si="8"/>
        <v>0</v>
      </c>
      <c r="U71" s="104"/>
      <c r="V71" s="5"/>
      <c r="W71" s="5"/>
      <c r="X71" s="5"/>
      <c r="Y71" s="5"/>
      <c r="Z71" s="5"/>
      <c r="AA71" s="5"/>
      <c r="AB71" s="5"/>
      <c r="AC71" s="5"/>
      <c r="AD71" s="5"/>
    </row>
    <row r="72" spans="2:30" ht="15.75" x14ac:dyDescent="0.25">
      <c r="B72" s="2">
        <v>49</v>
      </c>
      <c r="C72" s="120">
        <f>'IAT-1'!C74</f>
        <v>951323243052</v>
      </c>
      <c r="D72" s="119" t="str">
        <f>'IAT-1'!D74</f>
        <v>SINDHUJA RAJASUMANA R</v>
      </c>
      <c r="E72" s="3"/>
      <c r="F72" s="274">
        <f>'IAT-1'!Q74</f>
        <v>100</v>
      </c>
      <c r="G72" s="274">
        <f>'IAT-1'!S74</f>
        <v>100</v>
      </c>
      <c r="H72" s="274">
        <f>'IAT-1'!U74</f>
        <v>100</v>
      </c>
      <c r="I72" s="274">
        <f>'IAT-1'!W74</f>
        <v>0</v>
      </c>
      <c r="J72" s="274">
        <f>'IAT-1'!Y74</f>
        <v>0</v>
      </c>
      <c r="K72" s="274">
        <f>'IAT-2'!Q74</f>
        <v>0</v>
      </c>
      <c r="L72" s="274">
        <f>'IAT-2'!S74</f>
        <v>0</v>
      </c>
      <c r="M72" s="274">
        <f>'IAT-2'!U74</f>
        <v>100</v>
      </c>
      <c r="N72" s="274">
        <f>'IAT-2'!W74</f>
        <v>94.4</v>
      </c>
      <c r="O72" s="274">
        <f>'IAT-2'!Y74</f>
        <v>100</v>
      </c>
      <c r="P72" s="263">
        <f t="shared" si="5"/>
        <v>100</v>
      </c>
      <c r="Q72" s="263">
        <f t="shared" si="6"/>
        <v>100</v>
      </c>
      <c r="R72" s="263">
        <f t="shared" si="4"/>
        <v>100</v>
      </c>
      <c r="S72" s="263">
        <f t="shared" si="7"/>
        <v>94.4</v>
      </c>
      <c r="T72" s="263">
        <f t="shared" si="8"/>
        <v>100</v>
      </c>
      <c r="U72" s="104"/>
      <c r="V72" s="5"/>
      <c r="W72" s="5"/>
      <c r="X72" s="5"/>
      <c r="Y72" s="5"/>
      <c r="Z72" s="5"/>
      <c r="AA72" s="5"/>
      <c r="AB72" s="5"/>
      <c r="AC72" s="5"/>
      <c r="AD72" s="5"/>
    </row>
    <row r="73" spans="2:30" ht="15.75" x14ac:dyDescent="0.25">
      <c r="B73" s="2">
        <v>50</v>
      </c>
      <c r="C73" s="120">
        <f>'IAT-1'!C75</f>
        <v>951323243053</v>
      </c>
      <c r="D73" s="119" t="str">
        <f>'IAT-1'!D75</f>
        <v>SNEGA G</v>
      </c>
      <c r="E73" s="3"/>
      <c r="F73" s="274">
        <f>'IAT-1'!Q75</f>
        <v>100</v>
      </c>
      <c r="G73" s="274">
        <f>'IAT-1'!S75</f>
        <v>94.4</v>
      </c>
      <c r="H73" s="274">
        <f>'IAT-1'!U75</f>
        <v>100</v>
      </c>
      <c r="I73" s="274">
        <f>'IAT-1'!W75</f>
        <v>0</v>
      </c>
      <c r="J73" s="274">
        <f>'IAT-1'!Y75</f>
        <v>0</v>
      </c>
      <c r="K73" s="274">
        <f>'IAT-2'!Q75</f>
        <v>0</v>
      </c>
      <c r="L73" s="274">
        <f>'IAT-2'!S75</f>
        <v>0</v>
      </c>
      <c r="M73" s="274">
        <f>'IAT-2'!U75</f>
        <v>88.9</v>
      </c>
      <c r="N73" s="274">
        <f>'IAT-2'!W75</f>
        <v>55.6</v>
      </c>
      <c r="O73" s="274">
        <f>'IAT-2'!Y75</f>
        <v>91.3</v>
      </c>
      <c r="P73" s="263">
        <f t="shared" si="5"/>
        <v>100</v>
      </c>
      <c r="Q73" s="263">
        <f t="shared" si="6"/>
        <v>94.4</v>
      </c>
      <c r="R73" s="263">
        <f t="shared" si="4"/>
        <v>94.45</v>
      </c>
      <c r="S73" s="263">
        <f t="shared" si="7"/>
        <v>55.6</v>
      </c>
      <c r="T73" s="263">
        <f t="shared" si="8"/>
        <v>91.3</v>
      </c>
      <c r="U73" s="104"/>
      <c r="V73" s="5"/>
      <c r="W73" s="5"/>
      <c r="X73" s="5"/>
      <c r="Y73" s="5"/>
      <c r="Z73" s="5"/>
      <c r="AA73" s="5"/>
      <c r="AB73" s="5"/>
      <c r="AC73" s="5"/>
      <c r="AD73" s="5"/>
    </row>
    <row r="74" spans="2:30" ht="15.75" x14ac:dyDescent="0.25">
      <c r="B74" s="2">
        <v>51</v>
      </c>
      <c r="C74" s="120">
        <f>'IAT-1'!C76</f>
        <v>951323243054</v>
      </c>
      <c r="D74" s="119" t="str">
        <f>'IAT-1'!D76</f>
        <v>SUBRAMANIAN V</v>
      </c>
      <c r="E74" s="3"/>
      <c r="F74" s="274">
        <f>'IAT-1'!Q76</f>
        <v>52.2</v>
      </c>
      <c r="G74" s="274">
        <f>'IAT-1'!S76</f>
        <v>72.2</v>
      </c>
      <c r="H74" s="274">
        <f>'IAT-1'!U76</f>
        <v>0</v>
      </c>
      <c r="I74" s="274">
        <f>'IAT-1'!W76</f>
        <v>0</v>
      </c>
      <c r="J74" s="274">
        <f>'IAT-1'!Y76</f>
        <v>0</v>
      </c>
      <c r="K74" s="274">
        <f>'IAT-2'!Q76</f>
        <v>0</v>
      </c>
      <c r="L74" s="274">
        <f>'IAT-2'!S76</f>
        <v>0</v>
      </c>
      <c r="M74" s="274">
        <f>'IAT-2'!U76</f>
        <v>11.1</v>
      </c>
      <c r="N74" s="274">
        <f>'IAT-2'!W76</f>
        <v>16.7</v>
      </c>
      <c r="O74" s="274">
        <f>'IAT-2'!Y76</f>
        <v>78.3</v>
      </c>
      <c r="P74" s="263">
        <f t="shared" si="5"/>
        <v>52.2</v>
      </c>
      <c r="Q74" s="263">
        <f t="shared" si="6"/>
        <v>72.2</v>
      </c>
      <c r="R74" s="263">
        <f t="shared" si="4"/>
        <v>5.55</v>
      </c>
      <c r="S74" s="263">
        <f t="shared" si="7"/>
        <v>0</v>
      </c>
      <c r="T74" s="263">
        <f t="shared" si="8"/>
        <v>78.3</v>
      </c>
      <c r="U74" s="104"/>
      <c r="V74" s="5"/>
      <c r="W74" s="5"/>
      <c r="X74" s="5"/>
      <c r="Y74" s="5"/>
      <c r="Z74" s="5"/>
      <c r="AA74" s="5"/>
      <c r="AB74" s="5"/>
      <c r="AC74" s="5"/>
      <c r="AD74" s="5"/>
    </row>
    <row r="75" spans="2:30" ht="15.75" x14ac:dyDescent="0.25">
      <c r="B75" s="2">
        <v>52</v>
      </c>
      <c r="C75" s="120">
        <f>'IAT-1'!C77</f>
        <v>951323243055</v>
      </c>
      <c r="D75" s="119" t="str">
        <f>'IAT-1'!D77</f>
        <v>SUGAN RAJ H</v>
      </c>
      <c r="E75" s="3"/>
      <c r="F75" s="274">
        <f>'IAT-1'!Q77</f>
        <v>43.5</v>
      </c>
      <c r="G75" s="274">
        <f>'IAT-1'!S77</f>
        <v>33.299999999999997</v>
      </c>
      <c r="H75" s="274">
        <f>'IAT-1'!U77</f>
        <v>22.2</v>
      </c>
      <c r="I75" s="274">
        <f>'IAT-1'!W77</f>
        <v>0</v>
      </c>
      <c r="J75" s="274">
        <f>'IAT-1'!Y77</f>
        <v>0</v>
      </c>
      <c r="K75" s="274">
        <f>'IAT-2'!Q77</f>
        <v>0</v>
      </c>
      <c r="L75" s="274">
        <f>'IAT-2'!S77</f>
        <v>0</v>
      </c>
      <c r="M75" s="274">
        <f>'IAT-2'!U77</f>
        <v>33.299999999999997</v>
      </c>
      <c r="N75" s="274">
        <f>'IAT-2'!W77</f>
        <v>0</v>
      </c>
      <c r="O75" s="274">
        <f>'IAT-2'!Y77</f>
        <v>26.1</v>
      </c>
      <c r="P75" s="263">
        <f t="shared" si="5"/>
        <v>43.5</v>
      </c>
      <c r="Q75" s="263">
        <f t="shared" si="6"/>
        <v>33.299999999999997</v>
      </c>
      <c r="R75" s="263">
        <f t="shared" si="4"/>
        <v>27.75</v>
      </c>
      <c r="S75" s="263">
        <f t="shared" si="7"/>
        <v>0</v>
      </c>
      <c r="T75" s="263">
        <f t="shared" si="8"/>
        <v>26.1</v>
      </c>
      <c r="U75" s="104"/>
      <c r="V75" s="5"/>
      <c r="W75" s="5"/>
      <c r="X75" s="5"/>
      <c r="Y75" s="5"/>
      <c r="Z75" s="5"/>
      <c r="AA75" s="5"/>
      <c r="AB75" s="5"/>
      <c r="AC75" s="5"/>
      <c r="AD75" s="5"/>
    </row>
    <row r="76" spans="2:30" ht="15.75" x14ac:dyDescent="0.25">
      <c r="B76" s="2">
        <v>53</v>
      </c>
      <c r="C76" s="120">
        <f>'IAT-1'!C78</f>
        <v>951323243056</v>
      </c>
      <c r="D76" s="119" t="str">
        <f>'IAT-1'!D78</f>
        <v>THOMAS KOILRAJ J</v>
      </c>
      <c r="E76" s="3"/>
      <c r="F76" s="274">
        <f>'IAT-1'!Q78</f>
        <v>78.3</v>
      </c>
      <c r="G76" s="274">
        <f>'IAT-1'!S78</f>
        <v>50</v>
      </c>
      <c r="H76" s="274">
        <f>'IAT-1'!U78</f>
        <v>11.1</v>
      </c>
      <c r="I76" s="274">
        <f>'IAT-1'!W78</f>
        <v>0</v>
      </c>
      <c r="J76" s="274">
        <f>'IAT-1'!Y78</f>
        <v>0</v>
      </c>
      <c r="K76" s="274">
        <f>'IAT-2'!Q78</f>
        <v>0</v>
      </c>
      <c r="L76" s="274">
        <f>'IAT-2'!S78</f>
        <v>0</v>
      </c>
      <c r="M76" s="274">
        <f>'IAT-2'!U78</f>
        <v>66.7</v>
      </c>
      <c r="N76" s="274">
        <f>'IAT-2'!W78</f>
        <v>11.1</v>
      </c>
      <c r="O76" s="274">
        <f>'IAT-2'!Y78</f>
        <v>52.2</v>
      </c>
      <c r="P76" s="263">
        <f t="shared" si="5"/>
        <v>78.3</v>
      </c>
      <c r="Q76" s="263">
        <f t="shared" si="6"/>
        <v>50</v>
      </c>
      <c r="R76" s="263">
        <f t="shared" si="4"/>
        <v>38.9</v>
      </c>
      <c r="S76" s="263">
        <f t="shared" si="7"/>
        <v>11.1</v>
      </c>
      <c r="T76" s="263">
        <f t="shared" si="8"/>
        <v>52.2</v>
      </c>
      <c r="U76" s="104"/>
      <c r="V76" s="5"/>
      <c r="W76" s="5"/>
      <c r="X76" s="5"/>
      <c r="Y76" s="5"/>
      <c r="Z76" s="5"/>
      <c r="AA76" s="5"/>
      <c r="AB76" s="5"/>
      <c r="AC76" s="5"/>
      <c r="AD76" s="5"/>
    </row>
    <row r="77" spans="2:30" ht="15.75" x14ac:dyDescent="0.25">
      <c r="B77" s="2">
        <v>54</v>
      </c>
      <c r="C77" s="120">
        <f>'IAT-1'!C79</f>
        <v>951323243057</v>
      </c>
      <c r="D77" s="119" t="str">
        <f>'IAT-1'!D79</f>
        <v>VANITHA L</v>
      </c>
      <c r="E77" s="3"/>
      <c r="F77" s="274">
        <f>'IAT-1'!Q79</f>
        <v>65.2</v>
      </c>
      <c r="G77" s="274">
        <f>'IAT-1'!S79</f>
        <v>66.7</v>
      </c>
      <c r="H77" s="274">
        <f>'IAT-1'!U79</f>
        <v>88.9</v>
      </c>
      <c r="I77" s="274">
        <f>'IAT-1'!W79</f>
        <v>0</v>
      </c>
      <c r="J77" s="274">
        <f>'IAT-1'!Y79</f>
        <v>0</v>
      </c>
      <c r="K77" s="274">
        <f>'IAT-2'!Q79</f>
        <v>0</v>
      </c>
      <c r="L77" s="274">
        <f>'IAT-2'!S79</f>
        <v>0</v>
      </c>
      <c r="M77" s="274">
        <f>'IAT-2'!U79</f>
        <v>100</v>
      </c>
      <c r="N77" s="274">
        <f>'IAT-2'!W79</f>
        <v>44.4</v>
      </c>
      <c r="O77" s="274">
        <f>'IAT-2'!Y79</f>
        <v>91.3</v>
      </c>
      <c r="P77" s="263">
        <f t="shared" si="5"/>
        <v>65.2</v>
      </c>
      <c r="Q77" s="263">
        <f t="shared" si="6"/>
        <v>0</v>
      </c>
      <c r="R77" s="263">
        <f t="shared" si="4"/>
        <v>94.45</v>
      </c>
      <c r="S77" s="263">
        <f t="shared" si="7"/>
        <v>44.4</v>
      </c>
      <c r="T77" s="263">
        <f t="shared" si="8"/>
        <v>91.3</v>
      </c>
      <c r="U77" s="104"/>
      <c r="V77" s="5"/>
      <c r="W77" s="5"/>
      <c r="X77" s="5"/>
      <c r="Y77" s="5"/>
      <c r="Z77" s="5"/>
      <c r="AA77" s="5"/>
      <c r="AB77" s="5"/>
      <c r="AC77" s="5"/>
      <c r="AD77" s="5"/>
    </row>
    <row r="78" spans="2:30" ht="15.75" x14ac:dyDescent="0.25">
      <c r="B78" s="2">
        <v>55</v>
      </c>
      <c r="C78" s="120">
        <f>'IAT-1'!C80</f>
        <v>951323243058</v>
      </c>
      <c r="D78" s="119" t="str">
        <f>'IAT-1'!D80</f>
        <v>VICTOR ROBINSON</v>
      </c>
      <c r="E78" s="3"/>
      <c r="F78" s="274">
        <f>'IAT-1'!Q80</f>
        <v>21.7</v>
      </c>
      <c r="G78" s="274">
        <f>'IAT-1'!S80</f>
        <v>0</v>
      </c>
      <c r="H78" s="274">
        <f>'IAT-1'!U80</f>
        <v>0</v>
      </c>
      <c r="I78" s="274">
        <f>'IAT-1'!W80</f>
        <v>0</v>
      </c>
      <c r="J78" s="274">
        <f>'IAT-1'!Y80</f>
        <v>0</v>
      </c>
      <c r="K78" s="274">
        <f>'IAT-2'!Q80</f>
        <v>0</v>
      </c>
      <c r="L78" s="274">
        <f>'IAT-2'!S80</f>
        <v>0</v>
      </c>
      <c r="M78" s="274">
        <f>'IAT-2'!U80</f>
        <v>22.2</v>
      </c>
      <c r="N78" s="274">
        <f>'IAT-2'!W80</f>
        <v>11.1</v>
      </c>
      <c r="O78" s="274">
        <f>'IAT-2'!Y80</f>
        <v>21.7</v>
      </c>
      <c r="P78" s="263">
        <f t="shared" si="5"/>
        <v>0</v>
      </c>
      <c r="Q78" s="263">
        <f t="shared" si="6"/>
        <v>0</v>
      </c>
      <c r="R78" s="263">
        <f t="shared" si="4"/>
        <v>11.1</v>
      </c>
      <c r="S78" s="263">
        <f t="shared" si="7"/>
        <v>11.1</v>
      </c>
      <c r="T78" s="263">
        <f t="shared" si="8"/>
        <v>21.7</v>
      </c>
      <c r="U78" s="104"/>
      <c r="V78" s="5"/>
      <c r="W78" s="5"/>
      <c r="X78" s="5"/>
      <c r="Y78" s="5"/>
      <c r="Z78" s="5"/>
      <c r="AA78" s="5"/>
      <c r="AB78" s="5"/>
      <c r="AC78" s="5"/>
      <c r="AD78" s="5"/>
    </row>
    <row r="79" spans="2:30" ht="15.75" x14ac:dyDescent="0.25">
      <c r="B79" s="2">
        <v>56</v>
      </c>
      <c r="C79" s="120">
        <f>'IAT-1'!C81</f>
        <v>951323243059</v>
      </c>
      <c r="D79" s="119" t="str">
        <f>'IAT-1'!D81</f>
        <v>VIJAYAPRAKASH S</v>
      </c>
      <c r="E79" s="3"/>
      <c r="F79" s="274">
        <f>'IAT-1'!Q81</f>
        <v>0</v>
      </c>
      <c r="G79" s="274">
        <f>'IAT-1'!S81</f>
        <v>0</v>
      </c>
      <c r="H79" s="274">
        <f>'IAT-1'!U81</f>
        <v>0</v>
      </c>
      <c r="I79" s="274">
        <f>'IAT-1'!W81</f>
        <v>0</v>
      </c>
      <c r="J79" s="274">
        <f>'IAT-1'!Y81</f>
        <v>0</v>
      </c>
      <c r="K79" s="274">
        <f>'IAT-2'!Q81</f>
        <v>0</v>
      </c>
      <c r="L79" s="274">
        <f>'IAT-2'!S81</f>
        <v>0</v>
      </c>
      <c r="M79" s="274">
        <f>'IAT-2'!U81</f>
        <v>22.2</v>
      </c>
      <c r="N79" s="274">
        <f>'IAT-2'!W81</f>
        <v>16.7</v>
      </c>
      <c r="O79" s="274">
        <f>'IAT-2'!Y81</f>
        <v>60.9</v>
      </c>
      <c r="P79" s="263">
        <f t="shared" si="5"/>
        <v>0</v>
      </c>
      <c r="Q79" s="263">
        <f t="shared" si="6"/>
        <v>0</v>
      </c>
      <c r="R79" s="263">
        <f t="shared" si="4"/>
        <v>11.1</v>
      </c>
      <c r="S79" s="263">
        <f t="shared" si="7"/>
        <v>0</v>
      </c>
      <c r="T79" s="263">
        <f t="shared" si="8"/>
        <v>0</v>
      </c>
      <c r="U79" s="104"/>
      <c r="V79" s="5"/>
      <c r="W79" s="5"/>
      <c r="X79" s="5"/>
      <c r="Y79" s="5"/>
      <c r="Z79" s="5"/>
      <c r="AA79" s="5"/>
      <c r="AB79" s="5"/>
      <c r="AC79" s="5"/>
      <c r="AD79" s="5"/>
    </row>
    <row r="80" spans="2:30" ht="15.75" x14ac:dyDescent="0.25">
      <c r="B80" s="2">
        <v>57</v>
      </c>
      <c r="C80" s="120">
        <f>'IAT-1'!C82</f>
        <v>951323243060</v>
      </c>
      <c r="D80" s="119" t="str">
        <f>'IAT-1'!D82</f>
        <v>VIJITHA BLESSY V</v>
      </c>
      <c r="E80" s="30"/>
      <c r="F80" s="274">
        <f>'IAT-1'!Q82</f>
        <v>47.8</v>
      </c>
      <c r="G80" s="274">
        <f>'IAT-1'!S82</f>
        <v>72.2</v>
      </c>
      <c r="H80" s="274">
        <f>'IAT-1'!U82</f>
        <v>33.299999999999997</v>
      </c>
      <c r="I80" s="274">
        <f>'IAT-1'!W82</f>
        <v>0</v>
      </c>
      <c r="J80" s="274">
        <f>'IAT-1'!Y82</f>
        <v>0</v>
      </c>
      <c r="K80" s="274">
        <f>'IAT-2'!Q82</f>
        <v>0</v>
      </c>
      <c r="L80" s="274">
        <f>'IAT-2'!S82</f>
        <v>0</v>
      </c>
      <c r="M80" s="274">
        <f>'IAT-2'!U82</f>
        <v>0</v>
      </c>
      <c r="N80" s="274">
        <f>'IAT-2'!W82</f>
        <v>0</v>
      </c>
      <c r="O80" s="274">
        <f>'IAT-2'!Y82</f>
        <v>0</v>
      </c>
      <c r="P80" s="263">
        <f t="shared" si="5"/>
        <v>47.8</v>
      </c>
      <c r="Q80" s="263">
        <f t="shared" si="6"/>
        <v>72.2</v>
      </c>
      <c r="R80" s="263">
        <f t="shared" si="4"/>
        <v>16.649999999999999</v>
      </c>
      <c r="S80" s="263">
        <f t="shared" si="7"/>
        <v>0</v>
      </c>
      <c r="T80" s="263">
        <f t="shared" si="8"/>
        <v>0</v>
      </c>
      <c r="U80" s="104"/>
      <c r="V80" s="5"/>
      <c r="W80" s="5"/>
      <c r="X80" s="5"/>
      <c r="Y80" s="5"/>
      <c r="Z80" s="5"/>
      <c r="AA80" s="5"/>
      <c r="AB80" s="5"/>
      <c r="AC80" s="5"/>
      <c r="AD80" s="5"/>
    </row>
    <row r="81" spans="1:25" x14ac:dyDescent="0.25">
      <c r="A81" s="105"/>
      <c r="B81" s="18"/>
      <c r="C81" s="18"/>
      <c r="D81" s="18"/>
      <c r="E81" s="31" t="s">
        <v>153</v>
      </c>
      <c r="F81" s="274">
        <f t="shared" ref="F81:T81" si="9">COUNTIF(F24:F80,"&gt;=50")</f>
        <v>42</v>
      </c>
      <c r="G81" s="274">
        <f t="shared" si="9"/>
        <v>38</v>
      </c>
      <c r="H81" s="274">
        <f t="shared" si="9"/>
        <v>39</v>
      </c>
      <c r="I81" s="274">
        <f t="shared" si="9"/>
        <v>0</v>
      </c>
      <c r="J81" s="274">
        <f t="shared" si="9"/>
        <v>0</v>
      </c>
      <c r="K81" s="274">
        <f t="shared" si="9"/>
        <v>0</v>
      </c>
      <c r="L81" s="274">
        <f t="shared" si="9"/>
        <v>0</v>
      </c>
      <c r="M81" s="274">
        <f t="shared" si="9"/>
        <v>36</v>
      </c>
      <c r="N81" s="274">
        <f t="shared" si="9"/>
        <v>22</v>
      </c>
      <c r="O81" s="274">
        <f t="shared" si="9"/>
        <v>44</v>
      </c>
      <c r="P81" s="274">
        <f t="shared" si="9"/>
        <v>36</v>
      </c>
      <c r="Q81" s="274">
        <f t="shared" si="9"/>
        <v>32</v>
      </c>
      <c r="R81" s="274">
        <f t="shared" si="9"/>
        <v>37</v>
      </c>
      <c r="S81" s="274">
        <f t="shared" si="9"/>
        <v>19</v>
      </c>
      <c r="T81" s="274">
        <f t="shared" si="9"/>
        <v>39</v>
      </c>
      <c r="U81" s="84"/>
      <c r="V81" s="5"/>
    </row>
    <row r="82" spans="1:25" x14ac:dyDescent="0.25">
      <c r="A82" s="105"/>
      <c r="B82" s="18"/>
      <c r="C82" s="18"/>
      <c r="D82" s="18"/>
      <c r="E82" s="31" t="s">
        <v>154</v>
      </c>
      <c r="F82" s="274">
        <f t="shared" ref="F82:T82" si="10">ROUND(IFERROR(F81/$U$9,0)*100,1)</f>
        <v>73.7</v>
      </c>
      <c r="G82" s="274">
        <f t="shared" si="10"/>
        <v>66.7</v>
      </c>
      <c r="H82" s="274">
        <f t="shared" si="10"/>
        <v>68.400000000000006</v>
      </c>
      <c r="I82" s="274">
        <f t="shared" si="10"/>
        <v>0</v>
      </c>
      <c r="J82" s="274">
        <f t="shared" si="10"/>
        <v>0</v>
      </c>
      <c r="K82" s="274">
        <f t="shared" si="10"/>
        <v>0</v>
      </c>
      <c r="L82" s="274">
        <f t="shared" si="10"/>
        <v>0</v>
      </c>
      <c r="M82" s="274">
        <f t="shared" si="10"/>
        <v>63.2</v>
      </c>
      <c r="N82" s="274">
        <f t="shared" si="10"/>
        <v>38.6</v>
      </c>
      <c r="O82" s="274">
        <f t="shared" si="10"/>
        <v>77.2</v>
      </c>
      <c r="P82" s="274">
        <f t="shared" si="10"/>
        <v>63.2</v>
      </c>
      <c r="Q82" s="274">
        <f t="shared" si="10"/>
        <v>56.1</v>
      </c>
      <c r="R82" s="274">
        <f t="shared" si="10"/>
        <v>64.900000000000006</v>
      </c>
      <c r="S82" s="274">
        <f t="shared" si="10"/>
        <v>33.299999999999997</v>
      </c>
      <c r="T82" s="274">
        <f t="shared" si="10"/>
        <v>68.400000000000006</v>
      </c>
      <c r="U82" s="84"/>
      <c r="V82" s="5"/>
      <c r="W82" s="25"/>
      <c r="X82" s="25"/>
      <c r="Y82" s="25"/>
    </row>
    <row r="83" spans="1:25" x14ac:dyDescent="0.25">
      <c r="A83" s="439" t="s">
        <v>39</v>
      </c>
      <c r="B83" s="440"/>
      <c r="C83" s="440"/>
      <c r="D83" s="440"/>
      <c r="E83" s="441"/>
      <c r="F83" s="274">
        <f>IF(F82&gt;=60,3,IF(F82&gt;=50,2,IF(F82&gt;=40,1,0)))</f>
        <v>3</v>
      </c>
      <c r="G83" s="274">
        <f t="shared" ref="G83:O83" si="11">IF(G82&gt;=60,3,IF(G82&gt;=50,2,IF(G82&gt;=40,1,0)))</f>
        <v>3</v>
      </c>
      <c r="H83" s="274">
        <f t="shared" si="11"/>
        <v>3</v>
      </c>
      <c r="I83" s="274">
        <f t="shared" si="11"/>
        <v>0</v>
      </c>
      <c r="J83" s="274">
        <f t="shared" si="11"/>
        <v>0</v>
      </c>
      <c r="K83" s="274">
        <f t="shared" si="11"/>
        <v>0</v>
      </c>
      <c r="L83" s="274">
        <f t="shared" si="11"/>
        <v>0</v>
      </c>
      <c r="M83" s="274">
        <f t="shared" si="11"/>
        <v>3</v>
      </c>
      <c r="N83" s="274">
        <f t="shared" si="11"/>
        <v>0</v>
      </c>
      <c r="O83" s="274">
        <f t="shared" si="11"/>
        <v>3</v>
      </c>
      <c r="P83" s="274">
        <f>IF(P82&gt;=60,3,IF(P82&gt;=50,2,IF(P82&gt;=40,1,0)))</f>
        <v>3</v>
      </c>
      <c r="Q83" s="274">
        <f>IF(Q82&gt;=60,3,IF(Q82&gt;=50,2,IF(Q82&gt;=40,1,0)))</f>
        <v>2</v>
      </c>
      <c r="R83" s="274">
        <f>IF(R82&gt;=60,3,IF(R82&gt;=50,2,IF(R82&gt;=40,1,0)))</f>
        <v>3</v>
      </c>
      <c r="S83" s="274">
        <f>IF(S82&gt;=60,3,IF(S82&gt;=50,2,IF(S82&gt;=40,1,0)))</f>
        <v>0</v>
      </c>
      <c r="T83" s="274">
        <f>IF(T82&gt;=60,3,IF(T82&gt;=50,2,IF(T82&gt;=40,1,0)))</f>
        <v>3</v>
      </c>
      <c r="U83" s="84"/>
      <c r="V83" s="5"/>
    </row>
    <row r="84" spans="1:25" x14ac:dyDescent="0.25">
      <c r="F84" s="28"/>
      <c r="G84" s="28"/>
      <c r="H84" s="28"/>
      <c r="I84" s="28"/>
      <c r="J84" s="28"/>
      <c r="K84" s="28"/>
      <c r="L84" s="28"/>
      <c r="M84" s="28"/>
      <c r="N84" s="28"/>
      <c r="O84" s="28"/>
      <c r="P84" s="28"/>
      <c r="Q84" s="28"/>
      <c r="R84" s="28"/>
      <c r="S84" s="28"/>
      <c r="T84" s="28"/>
    </row>
    <row r="87" spans="1:25" ht="15.75" x14ac:dyDescent="0.25">
      <c r="D87" s="29"/>
      <c r="E87" s="29"/>
      <c r="F87" s="29"/>
      <c r="G87" s="29"/>
      <c r="H87" s="29"/>
      <c r="I87" s="29"/>
      <c r="J87" s="29"/>
      <c r="K87" s="29"/>
      <c r="L87" s="29"/>
      <c r="M87" s="29"/>
      <c r="N87" s="29"/>
      <c r="O87" s="29"/>
      <c r="P87" s="29"/>
      <c r="Q87" s="29"/>
      <c r="R87" s="29"/>
    </row>
  </sheetData>
  <mergeCells count="49">
    <mergeCell ref="L13:M13"/>
    <mergeCell ref="L12:M12"/>
    <mergeCell ref="L11:M11"/>
    <mergeCell ref="K19:O20"/>
    <mergeCell ref="Z23:AA23"/>
    <mergeCell ref="P21:P22"/>
    <mergeCell ref="Q21:Q22"/>
    <mergeCell ref="R21:R22"/>
    <mergeCell ref="S21:S22"/>
    <mergeCell ref="V19:W22"/>
    <mergeCell ref="X19:Y22"/>
    <mergeCell ref="P19:T20"/>
    <mergeCell ref="AC10:AD10"/>
    <mergeCell ref="Z19:AA22"/>
    <mergeCell ref="AB19:AB22"/>
    <mergeCell ref="AC19:AC22"/>
    <mergeCell ref="AD19:AD22"/>
    <mergeCell ref="V23:W23"/>
    <mergeCell ref="X23:Y23"/>
    <mergeCell ref="T21:T22"/>
    <mergeCell ref="B6:R6"/>
    <mergeCell ref="B1:R1"/>
    <mergeCell ref="B2:R2"/>
    <mergeCell ref="B3:R3"/>
    <mergeCell ref="B4:R4"/>
    <mergeCell ref="B5:R5"/>
    <mergeCell ref="G9:H9"/>
    <mergeCell ref="N9:O9"/>
    <mergeCell ref="B7:R7"/>
    <mergeCell ref="D19:D23"/>
    <mergeCell ref="L21:L22"/>
    <mergeCell ref="O21:O22"/>
    <mergeCell ref="L14:M14"/>
    <mergeCell ref="A83:E83"/>
    <mergeCell ref="M16:T16"/>
    <mergeCell ref="S11:T11"/>
    <mergeCell ref="M21:M22"/>
    <mergeCell ref="F21:F22"/>
    <mergeCell ref="G21:G22"/>
    <mergeCell ref="K21:K22"/>
    <mergeCell ref="H21:H22"/>
    <mergeCell ref="I21:I22"/>
    <mergeCell ref="J21:J22"/>
    <mergeCell ref="F19:J20"/>
    <mergeCell ref="N21:N22"/>
    <mergeCell ref="E19:E20"/>
    <mergeCell ref="E21:E22"/>
    <mergeCell ref="B19:B23"/>
    <mergeCell ref="C19:C23"/>
  </mergeCells>
  <pageMargins left="0.7" right="0.7" top="0.75" bottom="0.75" header="0.3" footer="0.3"/>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C5780-DBE3-4405-8330-B76C465468C7}">
  <dimension ref="A1"/>
  <sheetViews>
    <sheetView workbookViewId="0">
      <selection activeCell="A3" sqref="A3"/>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264CC-0431-4A13-A4C1-337B8C3227D2}">
  <dimension ref="A1:AD83"/>
  <sheetViews>
    <sheetView topLeftCell="A14" zoomScale="90" zoomScaleNormal="90" workbookViewId="0">
      <selection activeCell="I24" sqref="I24"/>
    </sheetView>
  </sheetViews>
  <sheetFormatPr defaultRowHeight="15" customHeight="1" x14ac:dyDescent="0.25"/>
  <cols>
    <col min="1" max="1" width="7" customWidth="1"/>
    <col min="2" max="2" width="17.140625" customWidth="1"/>
    <col min="3" max="3" width="25.42578125" customWidth="1"/>
    <col min="4" max="4" width="12.28515625" customWidth="1"/>
    <col min="6" max="6" width="12.5703125" customWidth="1"/>
    <col min="7" max="7" width="12.85546875" customWidth="1"/>
    <col min="12" max="12" width="8.140625" customWidth="1"/>
    <col min="15" max="15" width="11.7109375" customWidth="1"/>
    <col min="16" max="16" width="14.7109375" customWidth="1"/>
    <col min="17" max="17" width="12.140625" customWidth="1"/>
  </cols>
  <sheetData>
    <row r="1" spans="1:21" ht="15" customHeight="1" x14ac:dyDescent="0.25">
      <c r="A1" s="331" t="s">
        <v>0</v>
      </c>
      <c r="B1" s="331"/>
      <c r="C1" s="331"/>
      <c r="D1" s="331"/>
      <c r="E1" s="331"/>
      <c r="F1" s="331"/>
      <c r="G1" s="331"/>
      <c r="H1" s="331"/>
      <c r="I1" s="331"/>
    </row>
    <row r="2" spans="1:21" ht="15" customHeight="1" x14ac:dyDescent="0.25">
      <c r="A2" s="331" t="s">
        <v>1</v>
      </c>
      <c r="B2" s="331"/>
      <c r="C2" s="331"/>
      <c r="D2" s="331"/>
      <c r="E2" s="331"/>
      <c r="F2" s="331"/>
      <c r="G2" s="331"/>
      <c r="H2" s="331"/>
      <c r="I2" s="331"/>
    </row>
    <row r="3" spans="1:21" ht="15" customHeight="1" x14ac:dyDescent="0.25">
      <c r="A3" s="331" t="s">
        <v>2</v>
      </c>
      <c r="B3" s="331"/>
      <c r="C3" s="331"/>
      <c r="D3" s="331"/>
      <c r="E3" s="331"/>
      <c r="F3" s="331"/>
      <c r="G3" s="331"/>
      <c r="H3" s="331"/>
      <c r="I3" s="331"/>
    </row>
    <row r="4" spans="1:21" ht="15" customHeight="1" x14ac:dyDescent="0.25">
      <c r="A4" s="331" t="str">
        <f>'BL-1'!A4</f>
        <v>DEPARTMENT OF ARTIFICIAL INTELLIGENCE AND DATA SCIENCE</v>
      </c>
      <c r="B4" s="331"/>
      <c r="C4" s="331"/>
      <c r="D4" s="331"/>
      <c r="E4" s="331"/>
      <c r="F4" s="331"/>
      <c r="G4" s="331"/>
      <c r="H4" s="331"/>
      <c r="I4" s="331"/>
    </row>
    <row r="5" spans="1:21" ht="15" customHeight="1" x14ac:dyDescent="0.25">
      <c r="A5" s="331" t="s">
        <v>87</v>
      </c>
      <c r="B5" s="331"/>
      <c r="C5" s="331"/>
      <c r="D5" s="331"/>
      <c r="E5" s="331"/>
      <c r="F5" s="331"/>
      <c r="G5" s="331"/>
      <c r="H5" s="331"/>
      <c r="I5" s="331"/>
    </row>
    <row r="6" spans="1:21" ht="15" customHeight="1" x14ac:dyDescent="0.25">
      <c r="A6" s="1"/>
      <c r="B6" s="1"/>
      <c r="C6" s="1"/>
      <c r="D6" s="1"/>
      <c r="E6" s="1"/>
      <c r="F6" s="1"/>
      <c r="G6" s="1"/>
      <c r="H6" s="1"/>
      <c r="I6" s="1"/>
    </row>
    <row r="7" spans="1:21" ht="15" customHeight="1" x14ac:dyDescent="0.25">
      <c r="A7" s="1"/>
      <c r="B7" s="1"/>
      <c r="C7" s="1"/>
      <c r="D7" s="1"/>
      <c r="E7" s="1"/>
      <c r="F7" s="1"/>
      <c r="G7" s="1"/>
      <c r="H7" s="1"/>
      <c r="I7" s="1"/>
    </row>
    <row r="8" spans="1:21" ht="15" customHeight="1" x14ac:dyDescent="0.25">
      <c r="A8" s="131" t="str">
        <f>'IAT-REPORT'!A8</f>
        <v>COURSE CODE / NAME: CW3551 DATA AND INFORMATION SECURITY</v>
      </c>
      <c r="B8" s="131"/>
      <c r="C8" s="131"/>
      <c r="D8" s="131"/>
      <c r="E8" s="42"/>
      <c r="F8" s="11"/>
      <c r="G8" s="11" t="str">
        <f>'BL-1'!I9</f>
        <v>CLASS  : III ADS</v>
      </c>
      <c r="H8" s="11"/>
      <c r="J8" s="11"/>
      <c r="K8" s="11" t="str">
        <f>'BL-1'!I8</f>
        <v>BATCH: 2023-2027</v>
      </c>
      <c r="L8" s="11"/>
      <c r="O8" s="11" t="str">
        <f>'BL-1'!M8</f>
        <v>SEM:05</v>
      </c>
      <c r="P8" s="11"/>
      <c r="Q8" s="11"/>
    </row>
    <row r="9" spans="1:21" ht="15" customHeight="1" x14ac:dyDescent="0.25">
      <c r="A9" s="131" t="str">
        <f>'IAT-REPORT'!A9</f>
        <v>COURSE INSTRUCTOR/DESIGNATION: G. ALISHA EVANGELINE,AP/ADS</v>
      </c>
      <c r="B9" s="131"/>
      <c r="C9" s="131"/>
      <c r="D9" s="131"/>
      <c r="F9" s="10" t="str">
        <f>'BL-1'!M9</f>
        <v>DATE:</v>
      </c>
      <c r="G9" s="400">
        <f>'BL-3'!M31</f>
        <v>45246</v>
      </c>
      <c r="H9" s="400"/>
      <c r="I9" s="124"/>
      <c r="J9" s="11" t="str">
        <f>'BL-1'!O9</f>
        <v>TIME:</v>
      </c>
      <c r="K9" s="123" t="s">
        <v>161</v>
      </c>
      <c r="L9" s="11"/>
      <c r="M9" s="92"/>
      <c r="N9" s="408" t="s">
        <v>144</v>
      </c>
      <c r="O9" s="408"/>
      <c r="P9" s="408"/>
      <c r="Q9" s="408"/>
      <c r="R9" s="408"/>
      <c r="S9" s="408"/>
      <c r="T9" s="408"/>
      <c r="U9" s="88">
        <f>'IAT-1'!$Z$9</f>
        <v>57</v>
      </c>
    </row>
    <row r="10" spans="1:21" ht="15" customHeight="1" x14ac:dyDescent="0.25">
      <c r="A10" s="167"/>
      <c r="B10" s="167"/>
      <c r="C10" s="134"/>
      <c r="D10" s="134"/>
      <c r="F10" s="470"/>
      <c r="G10" s="470"/>
      <c r="H10" s="167"/>
    </row>
    <row r="11" spans="1:21" ht="15" customHeight="1" x14ac:dyDescent="0.25">
      <c r="A11" s="167"/>
      <c r="B11" s="167"/>
      <c r="C11" s="134"/>
      <c r="D11" s="134"/>
      <c r="E11" s="404" t="s">
        <v>67</v>
      </c>
      <c r="F11" s="405"/>
      <c r="G11" s="372" t="s">
        <v>11</v>
      </c>
      <c r="H11" s="373"/>
      <c r="I11" s="373"/>
      <c r="J11" s="373"/>
      <c r="K11" s="234" t="s">
        <v>32</v>
      </c>
    </row>
    <row r="12" spans="1:21" ht="15" customHeight="1" x14ac:dyDescent="0.25">
      <c r="A12" s="211" t="str">
        <f>'[1]EDC IAT-1'!A12</f>
        <v>Course Outcomes:</v>
      </c>
      <c r="E12" s="406">
        <v>1</v>
      </c>
      <c r="F12" s="407"/>
      <c r="G12" s="369" t="s">
        <v>12</v>
      </c>
      <c r="H12" s="370"/>
      <c r="I12" s="370"/>
      <c r="J12" s="370"/>
      <c r="K12" s="235" t="s">
        <v>13</v>
      </c>
    </row>
    <row r="13" spans="1:21" ht="15" customHeight="1" x14ac:dyDescent="0.25">
      <c r="A13" t="str">
        <f>'BL-1'!A12</f>
        <v>CO 1</v>
      </c>
      <c r="B13" t="str">
        <f>'BL-1'!B12</f>
        <v>Understand the basics of data and information security</v>
      </c>
      <c r="E13" s="406">
        <v>2</v>
      </c>
      <c r="F13" s="407"/>
      <c r="G13" s="49" t="s">
        <v>14</v>
      </c>
      <c r="H13" s="89"/>
      <c r="I13" s="89"/>
      <c r="J13" s="89"/>
      <c r="K13" s="235" t="s">
        <v>15</v>
      </c>
    </row>
    <row r="14" spans="1:21" ht="15" customHeight="1" x14ac:dyDescent="0.25">
      <c r="A14" t="str">
        <f>'BL-1'!A13</f>
        <v>CO 2</v>
      </c>
      <c r="B14" t="str">
        <f>'BL-1'!B13</f>
        <v>Understand the legal, ethical and professional issues in information security</v>
      </c>
      <c r="E14" s="406">
        <v>3</v>
      </c>
      <c r="F14" s="407"/>
      <c r="G14" s="49" t="s">
        <v>16</v>
      </c>
      <c r="H14" s="89"/>
      <c r="I14" s="89"/>
      <c r="J14" s="89"/>
      <c r="K14" s="235" t="s">
        <v>17</v>
      </c>
    </row>
    <row r="15" spans="1:21" ht="15" customHeight="1" x14ac:dyDescent="0.25">
      <c r="A15" t="str">
        <f>'BL-1'!A14</f>
        <v>CO 3</v>
      </c>
      <c r="B15" t="str">
        <f>'BL-1'!B14</f>
        <v>Understand the various authentication schemes to simulate different applications</v>
      </c>
    </row>
    <row r="16" spans="1:21" ht="15" customHeight="1" x14ac:dyDescent="0.25">
      <c r="A16" t="str">
        <f>'BL-1'!A15</f>
        <v>CO 4</v>
      </c>
      <c r="B16" t="str">
        <f>'BL-1'!B15</f>
        <v>Understand various security practices and system security standards</v>
      </c>
      <c r="J16" s="471" t="s">
        <v>20</v>
      </c>
      <c r="K16" s="471"/>
      <c r="L16" s="471"/>
      <c r="M16" s="471"/>
      <c r="N16" s="471"/>
      <c r="O16" s="471"/>
      <c r="P16" s="471"/>
      <c r="Q16" s="471"/>
    </row>
    <row r="17" spans="1:30" ht="15" customHeight="1" x14ac:dyDescent="0.25">
      <c r="A17" t="str">
        <f>'BL-1'!A16</f>
        <v>CO 5</v>
      </c>
      <c r="B17" t="str">
        <f>'BL-1'!B16</f>
        <v>Understand the web security protocols for E-commerce applications</v>
      </c>
      <c r="J17" s="212" t="s">
        <v>21</v>
      </c>
      <c r="K17" s="213"/>
      <c r="L17" s="464" t="s">
        <v>24</v>
      </c>
      <c r="M17" s="465"/>
      <c r="N17" s="213" t="s">
        <v>26</v>
      </c>
      <c r="O17" s="213" t="s">
        <v>22</v>
      </c>
      <c r="P17" s="213" t="s">
        <v>25</v>
      </c>
      <c r="Q17" s="213" t="s">
        <v>23</v>
      </c>
    </row>
    <row r="19" spans="1:30" ht="19.899999999999999" customHeight="1" x14ac:dyDescent="0.25">
      <c r="A19" s="466" t="s">
        <v>6</v>
      </c>
      <c r="B19" s="466" t="s">
        <v>7</v>
      </c>
      <c r="C19" s="448" t="s">
        <v>8</v>
      </c>
      <c r="D19" s="240" t="s">
        <v>87</v>
      </c>
      <c r="E19" s="455" t="s">
        <v>226</v>
      </c>
      <c r="F19" s="455"/>
      <c r="G19" s="455"/>
      <c r="H19" s="455"/>
      <c r="I19" s="455"/>
      <c r="J19" s="455"/>
      <c r="K19" s="455"/>
      <c r="L19" s="455"/>
      <c r="M19" s="455"/>
      <c r="N19" s="455"/>
      <c r="O19" s="455"/>
      <c r="P19" s="455"/>
      <c r="Q19" s="455"/>
      <c r="R19" s="455"/>
      <c r="S19" s="455"/>
      <c r="T19" s="455"/>
      <c r="U19" s="455"/>
      <c r="V19" s="455"/>
      <c r="W19" s="455"/>
      <c r="X19" s="455"/>
      <c r="Y19" s="455"/>
      <c r="Z19" s="455"/>
      <c r="AA19" s="455"/>
      <c r="AB19" s="455"/>
      <c r="AC19" s="455"/>
      <c r="AD19" s="467" t="s">
        <v>312</v>
      </c>
    </row>
    <row r="20" spans="1:30" ht="19.899999999999999" customHeight="1" x14ac:dyDescent="0.25">
      <c r="A20" s="466"/>
      <c r="B20" s="466"/>
      <c r="C20" s="449"/>
      <c r="D20" s="240" t="s">
        <v>227</v>
      </c>
      <c r="E20" s="454" t="s">
        <v>228</v>
      </c>
      <c r="F20" s="460"/>
      <c r="G20" s="460"/>
      <c r="H20" s="460"/>
      <c r="I20" s="460"/>
      <c r="J20" s="454" t="s">
        <v>229</v>
      </c>
      <c r="K20" s="460"/>
      <c r="L20" s="460"/>
      <c r="M20" s="460"/>
      <c r="N20" s="460"/>
      <c r="O20" s="454" t="s">
        <v>230</v>
      </c>
      <c r="P20" s="460"/>
      <c r="Q20" s="460"/>
      <c r="R20" s="460"/>
      <c r="S20" s="460"/>
      <c r="T20" s="453" t="s">
        <v>230</v>
      </c>
      <c r="U20" s="453"/>
      <c r="V20" s="453"/>
      <c r="W20" s="453"/>
      <c r="X20" s="453"/>
      <c r="Y20" s="453" t="s">
        <v>231</v>
      </c>
      <c r="Z20" s="453"/>
      <c r="AA20" s="453"/>
      <c r="AB20" s="453"/>
      <c r="AC20" s="453"/>
      <c r="AD20" s="468"/>
    </row>
    <row r="21" spans="1:30" ht="19.899999999999999" customHeight="1" x14ac:dyDescent="0.25">
      <c r="A21" s="466"/>
      <c r="B21" s="466"/>
      <c r="C21" s="449"/>
      <c r="D21" s="240" t="s">
        <v>225</v>
      </c>
      <c r="E21" s="461" t="s">
        <v>329</v>
      </c>
      <c r="F21" s="462"/>
      <c r="G21" s="462"/>
      <c r="H21" s="462"/>
      <c r="I21" s="463"/>
      <c r="J21" s="461" t="s">
        <v>233</v>
      </c>
      <c r="K21" s="462"/>
      <c r="L21" s="462"/>
      <c r="M21" s="462"/>
      <c r="N21" s="463"/>
      <c r="O21" s="461" t="s">
        <v>329</v>
      </c>
      <c r="P21" s="462"/>
      <c r="Q21" s="462"/>
      <c r="R21" s="462"/>
      <c r="S21" s="463"/>
      <c r="T21" s="454" t="s">
        <v>232</v>
      </c>
      <c r="U21" s="454"/>
      <c r="V21" s="454"/>
      <c r="W21" s="454"/>
      <c r="X21" s="454"/>
      <c r="Y21" s="454" t="s">
        <v>232</v>
      </c>
      <c r="Z21" s="454"/>
      <c r="AA21" s="454"/>
      <c r="AB21" s="454"/>
      <c r="AC21" s="454"/>
      <c r="AD21" s="468"/>
    </row>
    <row r="22" spans="1:30" ht="19.899999999999999" customHeight="1" x14ac:dyDescent="0.25">
      <c r="A22" s="466"/>
      <c r="B22" s="466"/>
      <c r="C22" s="449"/>
      <c r="D22" s="240" t="s">
        <v>234</v>
      </c>
      <c r="E22" s="214" t="s">
        <v>235</v>
      </c>
      <c r="F22" s="214" t="s">
        <v>236</v>
      </c>
      <c r="G22" s="215" t="s">
        <v>237</v>
      </c>
      <c r="H22" s="214" t="s">
        <v>238</v>
      </c>
      <c r="I22" s="216" t="s">
        <v>238</v>
      </c>
      <c r="J22" s="214" t="s">
        <v>235</v>
      </c>
      <c r="K22" s="214" t="s">
        <v>236</v>
      </c>
      <c r="L22" s="215" t="s">
        <v>237</v>
      </c>
      <c r="M22" s="214" t="s">
        <v>238</v>
      </c>
      <c r="N22" s="216" t="s">
        <v>238</v>
      </c>
      <c r="O22" s="214" t="s">
        <v>235</v>
      </c>
      <c r="P22" s="214" t="s">
        <v>236</v>
      </c>
      <c r="Q22" s="215" t="s">
        <v>237</v>
      </c>
      <c r="R22" s="214" t="s">
        <v>238</v>
      </c>
      <c r="S22" s="216" t="s">
        <v>238</v>
      </c>
      <c r="T22" s="214" t="s">
        <v>235</v>
      </c>
      <c r="U22" s="214" t="s">
        <v>236</v>
      </c>
      <c r="V22" s="215" t="s">
        <v>237</v>
      </c>
      <c r="W22" s="214" t="s">
        <v>238</v>
      </c>
      <c r="X22" s="217" t="s">
        <v>238</v>
      </c>
      <c r="Y22" s="214" t="s">
        <v>235</v>
      </c>
      <c r="Z22" s="214" t="s">
        <v>236</v>
      </c>
      <c r="AA22" s="215" t="s">
        <v>237</v>
      </c>
      <c r="AB22" s="214" t="s">
        <v>238</v>
      </c>
      <c r="AC22" s="217" t="s">
        <v>238</v>
      </c>
      <c r="AD22" s="469"/>
    </row>
    <row r="23" spans="1:30" ht="19.899999999999999" customHeight="1" x14ac:dyDescent="0.25">
      <c r="A23" s="466"/>
      <c r="B23" s="466"/>
      <c r="C23" s="450"/>
      <c r="D23" s="240" t="s">
        <v>30</v>
      </c>
      <c r="E23" s="210">
        <v>5</v>
      </c>
      <c r="F23" s="210">
        <v>2</v>
      </c>
      <c r="G23" s="210">
        <v>3</v>
      </c>
      <c r="H23" s="210">
        <v>10</v>
      </c>
      <c r="I23" s="217">
        <v>100</v>
      </c>
      <c r="J23" s="210">
        <v>5</v>
      </c>
      <c r="K23" s="210">
        <v>2</v>
      </c>
      <c r="L23" s="210">
        <v>3</v>
      </c>
      <c r="M23" s="210">
        <v>10</v>
      </c>
      <c r="N23" s="217">
        <f>I23</f>
        <v>100</v>
      </c>
      <c r="O23" s="210">
        <v>5</v>
      </c>
      <c r="P23" s="210">
        <v>2</v>
      </c>
      <c r="Q23" s="210">
        <v>3</v>
      </c>
      <c r="R23" s="210">
        <v>10</v>
      </c>
      <c r="S23" s="217">
        <f>N23</f>
        <v>100</v>
      </c>
      <c r="T23" s="210">
        <v>5</v>
      </c>
      <c r="U23" s="210">
        <v>2</v>
      </c>
      <c r="V23" s="210">
        <v>3</v>
      </c>
      <c r="W23" s="210">
        <v>10</v>
      </c>
      <c r="X23" s="217">
        <f>N23</f>
        <v>100</v>
      </c>
      <c r="Y23" s="210">
        <v>5</v>
      </c>
      <c r="Z23" s="210">
        <v>2</v>
      </c>
      <c r="AA23" s="210">
        <v>3</v>
      </c>
      <c r="AB23" s="210">
        <v>10</v>
      </c>
      <c r="AC23" s="217">
        <f>S23</f>
        <v>100</v>
      </c>
      <c r="AD23" s="217">
        <f>S23</f>
        <v>100</v>
      </c>
    </row>
    <row r="24" spans="1:30" ht="15" customHeight="1" x14ac:dyDescent="0.25">
      <c r="A24" s="4">
        <v>1</v>
      </c>
      <c r="B24" s="218">
        <f>'IAT-REPORT'!C24</f>
        <v>951323243001</v>
      </c>
      <c r="C24" s="227" t="str">
        <f>'IAT-REPORT'!D24</f>
        <v>ABINAYA S</v>
      </c>
      <c r="D24" s="219"/>
      <c r="E24" s="4">
        <v>5</v>
      </c>
      <c r="F24" s="4">
        <v>2</v>
      </c>
      <c r="G24" s="4">
        <v>3</v>
      </c>
      <c r="H24" s="4">
        <f>SUM(E24:G24)</f>
        <v>10</v>
      </c>
      <c r="I24" s="220">
        <f>10*H24</f>
        <v>100</v>
      </c>
      <c r="J24" s="4">
        <v>5</v>
      </c>
      <c r="K24" s="4">
        <v>2</v>
      </c>
      <c r="L24" s="4">
        <v>3</v>
      </c>
      <c r="M24" s="4">
        <f>SUM(J24:L24)</f>
        <v>10</v>
      </c>
      <c r="N24" s="220">
        <f>10*M24</f>
        <v>100</v>
      </c>
      <c r="O24" s="4">
        <v>5</v>
      </c>
      <c r="P24" s="4">
        <v>2</v>
      </c>
      <c r="Q24" s="4">
        <v>3</v>
      </c>
      <c r="R24" s="4">
        <f>SUM(O24:Q24)</f>
        <v>10</v>
      </c>
      <c r="S24" s="220">
        <f>10*R24</f>
        <v>100</v>
      </c>
      <c r="T24" s="4">
        <v>5</v>
      </c>
      <c r="U24" s="4">
        <v>2</v>
      </c>
      <c r="V24" s="4">
        <v>0</v>
      </c>
      <c r="W24" s="4">
        <f>SUM(T24:V24)</f>
        <v>7</v>
      </c>
      <c r="X24" s="220">
        <f>10*W24</f>
        <v>70</v>
      </c>
      <c r="Y24" s="4">
        <v>5</v>
      </c>
      <c r="Z24" s="4">
        <v>2</v>
      </c>
      <c r="AA24" s="4">
        <v>0</v>
      </c>
      <c r="AB24" s="4">
        <f>SUM(Y24:AA24)</f>
        <v>7</v>
      </c>
      <c r="AC24" s="220">
        <f>10*AB24</f>
        <v>70</v>
      </c>
      <c r="AD24" s="220">
        <v>100</v>
      </c>
    </row>
    <row r="25" spans="1:30" ht="15" customHeight="1" x14ac:dyDescent="0.25">
      <c r="A25" s="4">
        <v>2</v>
      </c>
      <c r="B25" s="218">
        <f>'IAT-REPORT'!C25</f>
        <v>951323243002</v>
      </c>
      <c r="C25" s="227" t="str">
        <f>'IAT-REPORT'!D25</f>
        <v>ABISHEK S</v>
      </c>
      <c r="D25" s="18"/>
      <c r="E25" s="4">
        <v>5</v>
      </c>
      <c r="F25" s="4">
        <v>2</v>
      </c>
      <c r="G25" s="4">
        <v>3</v>
      </c>
      <c r="H25" s="4">
        <f>SUM(E25:G25)</f>
        <v>10</v>
      </c>
      <c r="I25" s="220">
        <f>10*H25</f>
        <v>100</v>
      </c>
      <c r="J25" s="4">
        <v>5</v>
      </c>
      <c r="K25" s="4">
        <v>2</v>
      </c>
      <c r="L25" s="4">
        <v>3</v>
      </c>
      <c r="M25" s="4">
        <f>SUM(J25:L25)</f>
        <v>10</v>
      </c>
      <c r="N25" s="220">
        <f>10*M25</f>
        <v>100</v>
      </c>
      <c r="O25" s="4">
        <v>5</v>
      </c>
      <c r="P25" s="4">
        <v>2</v>
      </c>
      <c r="Q25" s="4">
        <v>3</v>
      </c>
      <c r="R25" s="4">
        <f>SUM(O25:Q25)</f>
        <v>10</v>
      </c>
      <c r="S25" s="220">
        <f>10*R25</f>
        <v>100</v>
      </c>
      <c r="T25" s="4">
        <v>5</v>
      </c>
      <c r="U25" s="4">
        <v>2</v>
      </c>
      <c r="V25" s="4">
        <v>0</v>
      </c>
      <c r="W25" s="4">
        <f>SUM(T25:V25)</f>
        <v>7</v>
      </c>
      <c r="X25" s="220">
        <f>10*W25</f>
        <v>70</v>
      </c>
      <c r="Y25" s="4">
        <v>5</v>
      </c>
      <c r="Z25" s="4">
        <v>2</v>
      </c>
      <c r="AA25" s="4">
        <v>0</v>
      </c>
      <c r="AB25" s="4">
        <f>SUM(Y25:AA25)</f>
        <v>7</v>
      </c>
      <c r="AC25" s="220">
        <f>10*AB25</f>
        <v>70</v>
      </c>
      <c r="AD25" s="220">
        <v>70</v>
      </c>
    </row>
    <row r="26" spans="1:30" ht="15" customHeight="1" x14ac:dyDescent="0.25">
      <c r="A26" s="4">
        <v>3</v>
      </c>
      <c r="B26" s="218">
        <f>'IAT-REPORT'!C26</f>
        <v>951323243003</v>
      </c>
      <c r="C26" s="227" t="str">
        <f>'IAT-REPORT'!D26</f>
        <v>AJEETHA S</v>
      </c>
      <c r="D26" s="18"/>
      <c r="E26" s="4">
        <v>5</v>
      </c>
      <c r="F26" s="4">
        <v>2</v>
      </c>
      <c r="G26" s="4">
        <v>3</v>
      </c>
      <c r="H26" s="4">
        <f t="shared" ref="H26:H65" si="0">SUM(E26:G26)</f>
        <v>10</v>
      </c>
      <c r="I26" s="220">
        <f t="shared" ref="I26:I80" si="1">10*H26</f>
        <v>100</v>
      </c>
      <c r="J26" s="4">
        <v>5</v>
      </c>
      <c r="K26" s="4">
        <v>2</v>
      </c>
      <c r="L26" s="4">
        <v>3</v>
      </c>
      <c r="M26" s="4">
        <f t="shared" ref="M26" si="2">SUM(J26:L26)</f>
        <v>10</v>
      </c>
      <c r="N26" s="220">
        <f t="shared" ref="N26:N80" si="3">10*M26</f>
        <v>100</v>
      </c>
      <c r="O26" s="4">
        <v>5</v>
      </c>
      <c r="P26" s="4">
        <v>2</v>
      </c>
      <c r="Q26" s="4">
        <v>3</v>
      </c>
      <c r="R26" s="4">
        <f t="shared" ref="R26:R67" si="4">SUM(O26:Q26)</f>
        <v>10</v>
      </c>
      <c r="S26" s="220">
        <f t="shared" ref="S26:S80" si="5">10*R26</f>
        <v>100</v>
      </c>
      <c r="T26" s="4">
        <v>5</v>
      </c>
      <c r="U26" s="4">
        <v>2</v>
      </c>
      <c r="V26" s="4">
        <v>3</v>
      </c>
      <c r="W26" s="4">
        <f>SUM(T26:V26)</f>
        <v>10</v>
      </c>
      <c r="X26" s="220">
        <f t="shared" ref="X26:X80" si="6">10*W26</f>
        <v>100</v>
      </c>
      <c r="Y26" s="4">
        <v>5</v>
      </c>
      <c r="Z26" s="4">
        <v>2</v>
      </c>
      <c r="AA26" s="4">
        <v>3</v>
      </c>
      <c r="AB26" s="4">
        <f>SUM(Y26:AA26)</f>
        <v>10</v>
      </c>
      <c r="AC26" s="220">
        <f t="shared" ref="AC26:AC80" si="7">10*AB26</f>
        <v>100</v>
      </c>
      <c r="AD26" s="220">
        <v>80</v>
      </c>
    </row>
    <row r="27" spans="1:30" ht="15" customHeight="1" x14ac:dyDescent="0.25">
      <c r="A27" s="4">
        <v>4</v>
      </c>
      <c r="B27" s="218">
        <f>'IAT-REPORT'!C27</f>
        <v>951323243004</v>
      </c>
      <c r="C27" s="227" t="str">
        <f>'IAT-REPORT'!D27</f>
        <v>AJIM FAYAZ K M S</v>
      </c>
      <c r="D27" s="18"/>
      <c r="E27" s="4">
        <v>5</v>
      </c>
      <c r="F27" s="4">
        <v>2</v>
      </c>
      <c r="G27" s="4">
        <v>0</v>
      </c>
      <c r="H27" s="4">
        <f t="shared" si="0"/>
        <v>7</v>
      </c>
      <c r="I27" s="220">
        <f t="shared" si="1"/>
        <v>70</v>
      </c>
      <c r="J27" s="4">
        <v>5</v>
      </c>
      <c r="K27" s="4">
        <v>0</v>
      </c>
      <c r="L27" s="4">
        <v>0</v>
      </c>
      <c r="M27" s="4">
        <f>SUM(J27:L27)</f>
        <v>5</v>
      </c>
      <c r="N27" s="220">
        <f t="shared" si="3"/>
        <v>50</v>
      </c>
      <c r="O27" s="4">
        <v>5</v>
      </c>
      <c r="P27" s="4">
        <v>0</v>
      </c>
      <c r="Q27" s="4">
        <v>0</v>
      </c>
      <c r="R27" s="4">
        <f>SUM(O27:Q27)</f>
        <v>5</v>
      </c>
      <c r="S27" s="220">
        <f t="shared" si="5"/>
        <v>50</v>
      </c>
      <c r="T27" s="4">
        <v>5</v>
      </c>
      <c r="U27" s="4">
        <v>2</v>
      </c>
      <c r="V27" s="4">
        <v>3</v>
      </c>
      <c r="W27" s="4">
        <f>SUM(T27:V27)</f>
        <v>10</v>
      </c>
      <c r="X27" s="220">
        <f t="shared" si="6"/>
        <v>100</v>
      </c>
      <c r="Y27" s="4">
        <v>5</v>
      </c>
      <c r="Z27" s="4">
        <v>2</v>
      </c>
      <c r="AA27" s="4">
        <v>0</v>
      </c>
      <c r="AB27" s="4">
        <f>SUM(Y27:AA27)</f>
        <v>7</v>
      </c>
      <c r="AC27" s="220">
        <f t="shared" si="7"/>
        <v>70</v>
      </c>
      <c r="AD27" s="220">
        <v>60</v>
      </c>
    </row>
    <row r="28" spans="1:30" ht="15" customHeight="1" x14ac:dyDescent="0.25">
      <c r="A28" s="4">
        <v>5</v>
      </c>
      <c r="B28" s="218">
        <f>'IAT-REPORT'!C28</f>
        <v>951323243005</v>
      </c>
      <c r="C28" s="227" t="str">
        <f>'IAT-REPORT'!D28</f>
        <v>ALPHONES CRUZ NAVEEN J</v>
      </c>
      <c r="D28" s="18"/>
      <c r="E28" s="4">
        <v>5</v>
      </c>
      <c r="F28" s="4">
        <v>2</v>
      </c>
      <c r="G28" s="4">
        <v>0</v>
      </c>
      <c r="H28" s="4">
        <f t="shared" si="0"/>
        <v>7</v>
      </c>
      <c r="I28" s="220">
        <f t="shared" si="1"/>
        <v>70</v>
      </c>
      <c r="J28" s="4">
        <v>5</v>
      </c>
      <c r="K28" s="4">
        <v>2</v>
      </c>
      <c r="L28" s="4">
        <v>3</v>
      </c>
      <c r="M28" s="4">
        <f t="shared" ref="M28:M80" si="8">SUM(J28:L28)</f>
        <v>10</v>
      </c>
      <c r="N28" s="220">
        <f t="shared" si="3"/>
        <v>100</v>
      </c>
      <c r="O28" s="4">
        <v>5</v>
      </c>
      <c r="P28" s="4">
        <v>2</v>
      </c>
      <c r="Q28" s="4">
        <v>3</v>
      </c>
      <c r="R28" s="4">
        <f t="shared" si="4"/>
        <v>10</v>
      </c>
      <c r="S28" s="220">
        <f t="shared" si="5"/>
        <v>100</v>
      </c>
      <c r="T28" s="4">
        <v>5</v>
      </c>
      <c r="U28" s="4">
        <v>2</v>
      </c>
      <c r="V28" s="4">
        <v>1</v>
      </c>
      <c r="W28" s="4">
        <f>SUM(T28:V28)</f>
        <v>8</v>
      </c>
      <c r="X28" s="220">
        <f t="shared" si="6"/>
        <v>80</v>
      </c>
      <c r="Y28" s="4">
        <v>5</v>
      </c>
      <c r="Z28" s="4">
        <v>2</v>
      </c>
      <c r="AA28" s="4">
        <v>0</v>
      </c>
      <c r="AB28" s="4">
        <f>SUM(Y28:AA28)</f>
        <v>7</v>
      </c>
      <c r="AC28" s="220">
        <f t="shared" si="7"/>
        <v>70</v>
      </c>
      <c r="AD28" s="220">
        <v>80</v>
      </c>
    </row>
    <row r="29" spans="1:30" ht="15" customHeight="1" x14ac:dyDescent="0.25">
      <c r="A29" s="4">
        <v>6</v>
      </c>
      <c r="B29" s="218">
        <f>'IAT-REPORT'!C29</f>
        <v>951323243006</v>
      </c>
      <c r="C29" s="227" t="str">
        <f>'IAT-REPORT'!D29</f>
        <v>ANGEL AGNES D</v>
      </c>
      <c r="D29" s="18"/>
      <c r="E29" s="4">
        <v>5</v>
      </c>
      <c r="F29" s="4">
        <v>2</v>
      </c>
      <c r="G29" s="4">
        <v>3</v>
      </c>
      <c r="H29" s="4">
        <f t="shared" si="0"/>
        <v>10</v>
      </c>
      <c r="I29" s="220">
        <f t="shared" si="1"/>
        <v>100</v>
      </c>
      <c r="J29" s="4">
        <v>5</v>
      </c>
      <c r="K29" s="4">
        <v>2</v>
      </c>
      <c r="L29" s="4">
        <v>3</v>
      </c>
      <c r="M29" s="4">
        <f t="shared" si="8"/>
        <v>10</v>
      </c>
      <c r="N29" s="220">
        <f t="shared" si="3"/>
        <v>100</v>
      </c>
      <c r="O29" s="4">
        <v>5</v>
      </c>
      <c r="P29" s="4">
        <v>2</v>
      </c>
      <c r="Q29" s="4">
        <v>3</v>
      </c>
      <c r="R29" s="4">
        <f t="shared" si="4"/>
        <v>10</v>
      </c>
      <c r="S29" s="220">
        <f t="shared" si="5"/>
        <v>100</v>
      </c>
      <c r="T29" s="4">
        <v>5</v>
      </c>
      <c r="U29" s="4">
        <v>2</v>
      </c>
      <c r="V29" s="4">
        <v>3</v>
      </c>
      <c r="W29" s="4">
        <f t="shared" ref="W29:W80" si="9">SUM(T29:V29)</f>
        <v>10</v>
      </c>
      <c r="X29" s="220">
        <f t="shared" si="6"/>
        <v>100</v>
      </c>
      <c r="Y29" s="4">
        <v>5</v>
      </c>
      <c r="Z29" s="4">
        <v>2</v>
      </c>
      <c r="AA29" s="4">
        <v>3</v>
      </c>
      <c r="AB29" s="4">
        <f t="shared" ref="AB29:AB30" si="10">SUM(Y29:AA29)</f>
        <v>10</v>
      </c>
      <c r="AC29" s="220">
        <f t="shared" si="7"/>
        <v>100</v>
      </c>
      <c r="AD29" s="220">
        <v>70</v>
      </c>
    </row>
    <row r="30" spans="1:30" ht="15" customHeight="1" x14ac:dyDescent="0.25">
      <c r="A30" s="4">
        <v>7</v>
      </c>
      <c r="B30" s="218">
        <f>'IAT-REPORT'!C30</f>
        <v>951323243007</v>
      </c>
      <c r="C30" s="227" t="str">
        <f>'IAT-REPORT'!D30</f>
        <v>ANUSHA P</v>
      </c>
      <c r="D30" s="18"/>
      <c r="E30" s="4">
        <v>5</v>
      </c>
      <c r="F30" s="4">
        <v>2</v>
      </c>
      <c r="G30" s="4">
        <v>3</v>
      </c>
      <c r="H30" s="4">
        <f t="shared" si="0"/>
        <v>10</v>
      </c>
      <c r="I30" s="220">
        <f t="shared" si="1"/>
        <v>100</v>
      </c>
      <c r="J30" s="4">
        <v>5</v>
      </c>
      <c r="K30" s="4">
        <v>2</v>
      </c>
      <c r="L30" s="4">
        <v>3</v>
      </c>
      <c r="M30" s="4">
        <f t="shared" si="8"/>
        <v>10</v>
      </c>
      <c r="N30" s="220">
        <f t="shared" si="3"/>
        <v>100</v>
      </c>
      <c r="O30" s="4">
        <v>5</v>
      </c>
      <c r="P30" s="4">
        <v>2</v>
      </c>
      <c r="Q30" s="4">
        <v>3</v>
      </c>
      <c r="R30" s="4">
        <f t="shared" si="4"/>
        <v>10</v>
      </c>
      <c r="S30" s="220">
        <f t="shared" si="5"/>
        <v>100</v>
      </c>
      <c r="T30" s="4">
        <v>5</v>
      </c>
      <c r="U30" s="4">
        <v>2</v>
      </c>
      <c r="V30" s="4">
        <v>3</v>
      </c>
      <c r="W30" s="4">
        <f t="shared" si="9"/>
        <v>10</v>
      </c>
      <c r="X30" s="220">
        <f t="shared" si="6"/>
        <v>100</v>
      </c>
      <c r="Y30" s="4">
        <v>5</v>
      </c>
      <c r="Z30" s="4">
        <v>2</v>
      </c>
      <c r="AA30" s="4">
        <v>3</v>
      </c>
      <c r="AB30" s="4">
        <f t="shared" si="10"/>
        <v>10</v>
      </c>
      <c r="AC30" s="220">
        <f t="shared" si="7"/>
        <v>100</v>
      </c>
      <c r="AD30" s="220">
        <v>60</v>
      </c>
    </row>
    <row r="31" spans="1:30" ht="15" customHeight="1" x14ac:dyDescent="0.25">
      <c r="A31" s="4">
        <v>8</v>
      </c>
      <c r="B31" s="218">
        <f>'IAT-REPORT'!C31</f>
        <v>951323243008</v>
      </c>
      <c r="C31" s="227" t="str">
        <f>'IAT-REPORT'!D31</f>
        <v>ARIBA M</v>
      </c>
      <c r="D31" s="18"/>
      <c r="E31" s="4">
        <v>5</v>
      </c>
      <c r="F31" s="4">
        <v>2</v>
      </c>
      <c r="G31" s="4">
        <v>3</v>
      </c>
      <c r="H31" s="4">
        <f t="shared" si="0"/>
        <v>10</v>
      </c>
      <c r="I31" s="220">
        <f t="shared" si="1"/>
        <v>100</v>
      </c>
      <c r="J31" s="4">
        <v>5</v>
      </c>
      <c r="K31" s="4">
        <v>2</v>
      </c>
      <c r="L31" s="4">
        <v>3</v>
      </c>
      <c r="M31" s="4">
        <f t="shared" si="8"/>
        <v>10</v>
      </c>
      <c r="N31" s="220">
        <f t="shared" si="3"/>
        <v>100</v>
      </c>
      <c r="O31" s="4">
        <v>5</v>
      </c>
      <c r="P31" s="4">
        <v>2</v>
      </c>
      <c r="Q31" s="4">
        <v>3</v>
      </c>
      <c r="R31" s="4">
        <f t="shared" si="4"/>
        <v>10</v>
      </c>
      <c r="S31" s="220">
        <f t="shared" si="5"/>
        <v>100</v>
      </c>
      <c r="T31" s="4">
        <v>5</v>
      </c>
      <c r="U31" s="4">
        <v>2</v>
      </c>
      <c r="V31" s="4">
        <v>0</v>
      </c>
      <c r="W31" s="4">
        <f>SUM(T31:V31)</f>
        <v>7</v>
      </c>
      <c r="X31" s="220">
        <f t="shared" si="6"/>
        <v>70</v>
      </c>
      <c r="Y31" s="4">
        <v>5</v>
      </c>
      <c r="Z31" s="4">
        <v>2</v>
      </c>
      <c r="AA31" s="4">
        <v>0</v>
      </c>
      <c r="AB31" s="4">
        <f>SUM(Y31:AA31)</f>
        <v>7</v>
      </c>
      <c r="AC31" s="220">
        <f t="shared" si="7"/>
        <v>70</v>
      </c>
      <c r="AD31" s="220">
        <v>80</v>
      </c>
    </row>
    <row r="32" spans="1:30" ht="15" customHeight="1" x14ac:dyDescent="0.25">
      <c r="A32" s="4">
        <v>9</v>
      </c>
      <c r="B32" s="218">
        <f>'IAT-REPORT'!C32</f>
        <v>951323243009</v>
      </c>
      <c r="C32" s="227" t="str">
        <f>'IAT-REPORT'!D32</f>
        <v>BALADHARSHINI S</v>
      </c>
      <c r="D32" s="18"/>
      <c r="E32" s="4">
        <v>5</v>
      </c>
      <c r="F32" s="4">
        <v>2</v>
      </c>
      <c r="G32" s="4">
        <v>3</v>
      </c>
      <c r="H32" s="4">
        <f>SUM(E32:G32)</f>
        <v>10</v>
      </c>
      <c r="I32" s="220">
        <f t="shared" si="1"/>
        <v>100</v>
      </c>
      <c r="J32" s="4">
        <v>5</v>
      </c>
      <c r="K32" s="4">
        <v>2</v>
      </c>
      <c r="L32" s="4">
        <v>3</v>
      </c>
      <c r="M32" s="4">
        <f t="shared" si="8"/>
        <v>10</v>
      </c>
      <c r="N32" s="220">
        <f t="shared" si="3"/>
        <v>100</v>
      </c>
      <c r="O32" s="4">
        <v>5</v>
      </c>
      <c r="P32" s="4">
        <v>2</v>
      </c>
      <c r="Q32" s="4">
        <v>3</v>
      </c>
      <c r="R32" s="4">
        <f t="shared" si="4"/>
        <v>10</v>
      </c>
      <c r="S32" s="220">
        <f t="shared" si="5"/>
        <v>100</v>
      </c>
      <c r="T32" s="4">
        <v>5</v>
      </c>
      <c r="U32" s="4">
        <v>2</v>
      </c>
      <c r="V32" s="4">
        <v>3</v>
      </c>
      <c r="W32" s="4">
        <f t="shared" si="9"/>
        <v>10</v>
      </c>
      <c r="X32" s="220">
        <f t="shared" si="6"/>
        <v>100</v>
      </c>
      <c r="Y32" s="4">
        <v>5</v>
      </c>
      <c r="Z32" s="4">
        <v>2</v>
      </c>
      <c r="AA32" s="4">
        <v>3</v>
      </c>
      <c r="AB32" s="4">
        <f t="shared" ref="AB32:AB68" si="11">SUM(Y32:AA32)</f>
        <v>10</v>
      </c>
      <c r="AC32" s="220">
        <f t="shared" si="7"/>
        <v>100</v>
      </c>
      <c r="AD32" s="220">
        <v>60</v>
      </c>
    </row>
    <row r="33" spans="1:30" ht="15" customHeight="1" x14ac:dyDescent="0.25">
      <c r="A33" s="4">
        <v>10</v>
      </c>
      <c r="B33" s="218">
        <f>'IAT-REPORT'!C33</f>
        <v>951323243010</v>
      </c>
      <c r="C33" s="227" t="str">
        <f>'IAT-REPORT'!D33</f>
        <v>BALASANKAR AYYAPPAN M</v>
      </c>
      <c r="D33" s="18"/>
      <c r="E33" s="4">
        <v>5</v>
      </c>
      <c r="F33" s="4">
        <v>2</v>
      </c>
      <c r="G33" s="4">
        <v>3</v>
      </c>
      <c r="H33" s="4">
        <f t="shared" si="0"/>
        <v>10</v>
      </c>
      <c r="I33" s="220">
        <f t="shared" si="1"/>
        <v>100</v>
      </c>
      <c r="J33" s="4">
        <v>5</v>
      </c>
      <c r="K33" s="4">
        <v>2</v>
      </c>
      <c r="L33" s="4">
        <v>3</v>
      </c>
      <c r="M33" s="4">
        <f t="shared" si="8"/>
        <v>10</v>
      </c>
      <c r="N33" s="220">
        <f t="shared" si="3"/>
        <v>100</v>
      </c>
      <c r="O33" s="4">
        <v>5</v>
      </c>
      <c r="P33" s="4">
        <v>2</v>
      </c>
      <c r="Q33" s="4">
        <v>3</v>
      </c>
      <c r="R33" s="4">
        <f t="shared" si="4"/>
        <v>10</v>
      </c>
      <c r="S33" s="220">
        <f t="shared" si="5"/>
        <v>100</v>
      </c>
      <c r="T33" s="4">
        <v>5</v>
      </c>
      <c r="U33" s="4">
        <v>2</v>
      </c>
      <c r="V33" s="4">
        <v>3</v>
      </c>
      <c r="W33" s="4">
        <f t="shared" si="9"/>
        <v>10</v>
      </c>
      <c r="X33" s="220">
        <f t="shared" si="6"/>
        <v>100</v>
      </c>
      <c r="Y33" s="4">
        <v>5</v>
      </c>
      <c r="Z33" s="4">
        <v>2</v>
      </c>
      <c r="AA33" s="4">
        <v>0</v>
      </c>
      <c r="AB33" s="4">
        <f t="shared" si="11"/>
        <v>7</v>
      </c>
      <c r="AC33" s="220">
        <f t="shared" si="7"/>
        <v>70</v>
      </c>
      <c r="AD33" s="220">
        <v>70</v>
      </c>
    </row>
    <row r="34" spans="1:30" ht="15" customHeight="1" x14ac:dyDescent="0.25">
      <c r="A34" s="4">
        <v>11</v>
      </c>
      <c r="B34" s="218">
        <f>'IAT-REPORT'!C34</f>
        <v>951323243011</v>
      </c>
      <c r="C34" s="227" t="str">
        <f>'IAT-REPORT'!D34</f>
        <v>BALA SRI RAM G</v>
      </c>
      <c r="D34" s="18"/>
      <c r="E34" s="4">
        <v>5</v>
      </c>
      <c r="F34" s="4">
        <v>2</v>
      </c>
      <c r="G34" s="4">
        <v>2</v>
      </c>
      <c r="H34" s="4">
        <f xml:space="preserve"> SUM(E34:G34)</f>
        <v>9</v>
      </c>
      <c r="I34" s="220">
        <f t="shared" si="1"/>
        <v>90</v>
      </c>
      <c r="J34" s="4">
        <v>5</v>
      </c>
      <c r="K34" s="4">
        <v>2</v>
      </c>
      <c r="L34" s="4">
        <v>3</v>
      </c>
      <c r="M34" s="4">
        <f t="shared" si="8"/>
        <v>10</v>
      </c>
      <c r="N34" s="220">
        <f t="shared" si="3"/>
        <v>100</v>
      </c>
      <c r="O34" s="4">
        <v>5</v>
      </c>
      <c r="P34" s="4">
        <v>2</v>
      </c>
      <c r="Q34" s="4">
        <v>3</v>
      </c>
      <c r="R34" s="4">
        <f t="shared" si="4"/>
        <v>10</v>
      </c>
      <c r="S34" s="220">
        <f t="shared" si="5"/>
        <v>100</v>
      </c>
      <c r="T34" s="4">
        <v>5</v>
      </c>
      <c r="U34" s="4">
        <v>2</v>
      </c>
      <c r="V34" s="4">
        <v>0</v>
      </c>
      <c r="W34" s="4">
        <f t="shared" si="9"/>
        <v>7</v>
      </c>
      <c r="X34" s="220">
        <f t="shared" si="6"/>
        <v>70</v>
      </c>
      <c r="Y34" s="4">
        <v>5</v>
      </c>
      <c r="Z34" s="4">
        <v>2</v>
      </c>
      <c r="AA34" s="4">
        <v>0</v>
      </c>
      <c r="AB34" s="4">
        <f t="shared" si="11"/>
        <v>7</v>
      </c>
      <c r="AC34" s="220">
        <f t="shared" si="7"/>
        <v>70</v>
      </c>
      <c r="AD34" s="220">
        <v>60</v>
      </c>
    </row>
    <row r="35" spans="1:30" ht="15" customHeight="1" x14ac:dyDescent="0.25">
      <c r="A35" s="4">
        <v>12</v>
      </c>
      <c r="B35" s="218">
        <f>'IAT-REPORT'!C35</f>
        <v>951323243012</v>
      </c>
      <c r="C35" s="227" t="str">
        <f>'IAT-REPORT'!D35</f>
        <v>BENJAMINE FRANKLIN C</v>
      </c>
      <c r="D35" s="18"/>
      <c r="E35" s="4">
        <v>5</v>
      </c>
      <c r="F35" s="4">
        <v>2</v>
      </c>
      <c r="G35" s="4">
        <v>3</v>
      </c>
      <c r="H35" s="4">
        <f t="shared" si="0"/>
        <v>10</v>
      </c>
      <c r="I35" s="220">
        <f t="shared" si="1"/>
        <v>100</v>
      </c>
      <c r="J35" s="4">
        <v>5</v>
      </c>
      <c r="K35" s="4">
        <v>2</v>
      </c>
      <c r="L35" s="4">
        <v>3</v>
      </c>
      <c r="M35" s="4">
        <f t="shared" si="8"/>
        <v>10</v>
      </c>
      <c r="N35" s="220">
        <f t="shared" si="3"/>
        <v>100</v>
      </c>
      <c r="O35" s="4">
        <v>5</v>
      </c>
      <c r="P35" s="4">
        <v>2</v>
      </c>
      <c r="Q35" s="4">
        <v>3</v>
      </c>
      <c r="R35" s="4">
        <f t="shared" si="4"/>
        <v>10</v>
      </c>
      <c r="S35" s="220">
        <f t="shared" si="5"/>
        <v>100</v>
      </c>
      <c r="T35" s="4">
        <v>5</v>
      </c>
      <c r="U35" s="4">
        <v>2</v>
      </c>
      <c r="V35" s="4">
        <v>3</v>
      </c>
      <c r="W35" s="4">
        <f t="shared" si="9"/>
        <v>10</v>
      </c>
      <c r="X35" s="220">
        <f t="shared" si="6"/>
        <v>100</v>
      </c>
      <c r="Y35" s="4">
        <v>5</v>
      </c>
      <c r="Z35" s="4">
        <v>2</v>
      </c>
      <c r="AA35" s="4">
        <v>0</v>
      </c>
      <c r="AB35" s="4">
        <f t="shared" si="11"/>
        <v>7</v>
      </c>
      <c r="AC35" s="220">
        <f t="shared" si="7"/>
        <v>70</v>
      </c>
      <c r="AD35" s="220">
        <v>60</v>
      </c>
    </row>
    <row r="36" spans="1:30" ht="15" customHeight="1" x14ac:dyDescent="0.25">
      <c r="A36" s="4">
        <v>13</v>
      </c>
      <c r="B36" s="218">
        <f>'IAT-REPORT'!C36</f>
        <v>951323243013</v>
      </c>
      <c r="C36" s="227" t="str">
        <f>'IAT-REPORT'!D36</f>
        <v>CATHRINE R</v>
      </c>
      <c r="D36" s="18"/>
      <c r="E36" s="4">
        <v>5</v>
      </c>
      <c r="F36" s="4">
        <v>2</v>
      </c>
      <c r="G36" s="4">
        <v>3</v>
      </c>
      <c r="H36" s="4">
        <f t="shared" si="0"/>
        <v>10</v>
      </c>
      <c r="I36" s="220">
        <f t="shared" si="1"/>
        <v>100</v>
      </c>
      <c r="J36" s="4">
        <v>5</v>
      </c>
      <c r="K36" s="4">
        <v>2</v>
      </c>
      <c r="L36" s="4">
        <v>3</v>
      </c>
      <c r="M36" s="4">
        <f t="shared" si="8"/>
        <v>10</v>
      </c>
      <c r="N36" s="220">
        <f t="shared" si="3"/>
        <v>100</v>
      </c>
      <c r="O36" s="4">
        <v>5</v>
      </c>
      <c r="P36" s="4">
        <v>2</v>
      </c>
      <c r="Q36" s="4">
        <v>3</v>
      </c>
      <c r="R36" s="4">
        <f t="shared" si="4"/>
        <v>10</v>
      </c>
      <c r="S36" s="220">
        <f t="shared" si="5"/>
        <v>100</v>
      </c>
      <c r="T36" s="4">
        <v>5</v>
      </c>
      <c r="U36" s="4">
        <v>2</v>
      </c>
      <c r="V36" s="4">
        <v>3</v>
      </c>
      <c r="W36" s="4">
        <f t="shared" si="9"/>
        <v>10</v>
      </c>
      <c r="X36" s="220">
        <f t="shared" si="6"/>
        <v>100</v>
      </c>
      <c r="Y36" s="4">
        <v>5</v>
      </c>
      <c r="Z36" s="4">
        <v>2</v>
      </c>
      <c r="AA36" s="4">
        <v>0</v>
      </c>
      <c r="AB36" s="4">
        <f t="shared" si="11"/>
        <v>7</v>
      </c>
      <c r="AC36" s="220">
        <f t="shared" si="7"/>
        <v>70</v>
      </c>
      <c r="AD36" s="220">
        <v>70</v>
      </c>
    </row>
    <row r="37" spans="1:30" ht="15" customHeight="1" x14ac:dyDescent="0.25">
      <c r="A37" s="4">
        <v>14</v>
      </c>
      <c r="B37" s="218">
        <f>'IAT-REPORT'!C37</f>
        <v>951323243014</v>
      </c>
      <c r="C37" s="227" t="str">
        <f>'IAT-REPORT'!D37</f>
        <v>CHENGALESWARI K</v>
      </c>
      <c r="D37" s="18"/>
      <c r="E37" s="4">
        <v>5</v>
      </c>
      <c r="F37" s="4">
        <v>2</v>
      </c>
      <c r="G37" s="4">
        <v>3</v>
      </c>
      <c r="H37" s="4">
        <f t="shared" si="0"/>
        <v>10</v>
      </c>
      <c r="I37" s="220">
        <f t="shared" si="1"/>
        <v>100</v>
      </c>
      <c r="J37" s="4">
        <v>5</v>
      </c>
      <c r="K37" s="4">
        <v>2</v>
      </c>
      <c r="L37" s="4">
        <v>3</v>
      </c>
      <c r="M37" s="4">
        <f t="shared" si="8"/>
        <v>10</v>
      </c>
      <c r="N37" s="220">
        <f t="shared" si="3"/>
        <v>100</v>
      </c>
      <c r="O37" s="4">
        <v>5</v>
      </c>
      <c r="P37" s="4">
        <v>2</v>
      </c>
      <c r="Q37" s="4">
        <v>3</v>
      </c>
      <c r="R37" s="4">
        <f t="shared" si="4"/>
        <v>10</v>
      </c>
      <c r="S37" s="220">
        <f t="shared" si="5"/>
        <v>100</v>
      </c>
      <c r="T37" s="4">
        <v>5</v>
      </c>
      <c r="U37" s="4">
        <v>2</v>
      </c>
      <c r="V37" s="4">
        <v>0</v>
      </c>
      <c r="W37" s="4">
        <f t="shared" si="9"/>
        <v>7</v>
      </c>
      <c r="X37" s="220">
        <f t="shared" si="6"/>
        <v>70</v>
      </c>
      <c r="Y37" s="4">
        <v>5</v>
      </c>
      <c r="Z37" s="4">
        <v>2</v>
      </c>
      <c r="AA37" s="4">
        <v>0</v>
      </c>
      <c r="AB37" s="4">
        <f t="shared" si="11"/>
        <v>7</v>
      </c>
      <c r="AC37" s="220">
        <f t="shared" si="7"/>
        <v>70</v>
      </c>
      <c r="AD37" s="220">
        <v>60</v>
      </c>
    </row>
    <row r="38" spans="1:30" ht="15" customHeight="1" x14ac:dyDescent="0.25">
      <c r="A38" s="4">
        <v>15</v>
      </c>
      <c r="B38" s="218">
        <f>'IAT-REPORT'!C38</f>
        <v>951323243015</v>
      </c>
      <c r="C38" s="227" t="str">
        <f>'IAT-REPORT'!D38</f>
        <v>DEVI L</v>
      </c>
      <c r="D38" s="18"/>
      <c r="E38" s="4">
        <v>5</v>
      </c>
      <c r="F38" s="4">
        <v>2</v>
      </c>
      <c r="G38" s="4">
        <v>3</v>
      </c>
      <c r="H38" s="4">
        <f t="shared" si="0"/>
        <v>10</v>
      </c>
      <c r="I38" s="220">
        <f t="shared" si="1"/>
        <v>100</v>
      </c>
      <c r="J38" s="4">
        <v>5</v>
      </c>
      <c r="K38" s="4">
        <v>2</v>
      </c>
      <c r="L38" s="4">
        <v>3</v>
      </c>
      <c r="M38" s="4">
        <f t="shared" si="8"/>
        <v>10</v>
      </c>
      <c r="N38" s="220">
        <f t="shared" si="3"/>
        <v>100</v>
      </c>
      <c r="O38" s="4">
        <v>5</v>
      </c>
      <c r="P38" s="4">
        <v>2</v>
      </c>
      <c r="Q38" s="4">
        <v>3</v>
      </c>
      <c r="R38" s="4">
        <f t="shared" si="4"/>
        <v>10</v>
      </c>
      <c r="S38" s="220">
        <f t="shared" si="5"/>
        <v>100</v>
      </c>
      <c r="T38" s="4">
        <v>5</v>
      </c>
      <c r="U38" s="4">
        <v>2</v>
      </c>
      <c r="V38" s="4">
        <v>3</v>
      </c>
      <c r="W38" s="4">
        <f t="shared" si="9"/>
        <v>10</v>
      </c>
      <c r="X38" s="220">
        <f t="shared" si="6"/>
        <v>100</v>
      </c>
      <c r="Y38" s="4">
        <v>5</v>
      </c>
      <c r="Z38" s="4">
        <v>2</v>
      </c>
      <c r="AA38" s="4">
        <v>3</v>
      </c>
      <c r="AB38" s="4">
        <f t="shared" si="11"/>
        <v>10</v>
      </c>
      <c r="AC38" s="220">
        <f t="shared" si="7"/>
        <v>100</v>
      </c>
      <c r="AD38" s="220">
        <v>50</v>
      </c>
    </row>
    <row r="39" spans="1:30" ht="15" customHeight="1" x14ac:dyDescent="0.25">
      <c r="A39" s="4">
        <v>16</v>
      </c>
      <c r="B39" s="218">
        <f>'IAT-REPORT'!C39</f>
        <v>951323243016</v>
      </c>
      <c r="C39" s="227" t="str">
        <f>'IAT-REPORT'!D39</f>
        <v>DHARUN S</v>
      </c>
      <c r="D39" s="18"/>
      <c r="E39" s="4">
        <v>5</v>
      </c>
      <c r="F39" s="4">
        <v>2</v>
      </c>
      <c r="G39" s="4">
        <v>3</v>
      </c>
      <c r="H39" s="4">
        <f t="shared" si="0"/>
        <v>10</v>
      </c>
      <c r="I39" s="220">
        <f t="shared" si="1"/>
        <v>100</v>
      </c>
      <c r="J39" s="4">
        <v>5</v>
      </c>
      <c r="K39" s="4">
        <v>2</v>
      </c>
      <c r="L39" s="4">
        <v>3</v>
      </c>
      <c r="M39" s="4">
        <f t="shared" si="8"/>
        <v>10</v>
      </c>
      <c r="N39" s="220">
        <f t="shared" si="3"/>
        <v>100</v>
      </c>
      <c r="O39" s="4">
        <v>5</v>
      </c>
      <c r="P39" s="4">
        <v>0</v>
      </c>
      <c r="Q39" s="4">
        <v>0</v>
      </c>
      <c r="R39" s="4">
        <f t="shared" si="4"/>
        <v>5</v>
      </c>
      <c r="S39" s="220">
        <f t="shared" si="5"/>
        <v>50</v>
      </c>
      <c r="T39" s="4">
        <v>5</v>
      </c>
      <c r="U39" s="4">
        <v>2</v>
      </c>
      <c r="V39" s="4">
        <v>0</v>
      </c>
      <c r="W39" s="4">
        <f t="shared" si="9"/>
        <v>7</v>
      </c>
      <c r="X39" s="220">
        <f t="shared" si="6"/>
        <v>70</v>
      </c>
      <c r="Y39" s="4">
        <v>5</v>
      </c>
      <c r="Z39" s="4">
        <v>2</v>
      </c>
      <c r="AA39" s="4">
        <v>0</v>
      </c>
      <c r="AB39" s="4">
        <f t="shared" si="11"/>
        <v>7</v>
      </c>
      <c r="AC39" s="220">
        <f t="shared" si="7"/>
        <v>70</v>
      </c>
      <c r="AD39" s="220">
        <v>60</v>
      </c>
    </row>
    <row r="40" spans="1:30" ht="15" customHeight="1" x14ac:dyDescent="0.25">
      <c r="A40" s="4">
        <v>17</v>
      </c>
      <c r="B40" s="218">
        <f>'IAT-REPORT'!C40</f>
        <v>951323243017</v>
      </c>
      <c r="C40" s="227" t="str">
        <f>'IAT-REPORT'!D40</f>
        <v>EAKANTHALINGAM R</v>
      </c>
      <c r="D40" s="18"/>
      <c r="E40" s="4">
        <v>5</v>
      </c>
      <c r="F40" s="4">
        <v>2</v>
      </c>
      <c r="G40" s="4">
        <v>3</v>
      </c>
      <c r="H40" s="4">
        <f t="shared" si="0"/>
        <v>10</v>
      </c>
      <c r="I40" s="220">
        <f t="shared" si="1"/>
        <v>100</v>
      </c>
      <c r="J40" s="4">
        <v>5</v>
      </c>
      <c r="K40" s="4">
        <v>2</v>
      </c>
      <c r="L40" s="4">
        <v>3</v>
      </c>
      <c r="M40" s="4">
        <f t="shared" si="8"/>
        <v>10</v>
      </c>
      <c r="N40" s="220">
        <f t="shared" si="3"/>
        <v>100</v>
      </c>
      <c r="O40" s="4">
        <v>5</v>
      </c>
      <c r="P40" s="4">
        <v>0</v>
      </c>
      <c r="Q40" s="4">
        <v>0</v>
      </c>
      <c r="R40" s="4">
        <f t="shared" si="4"/>
        <v>5</v>
      </c>
      <c r="S40" s="220">
        <f t="shared" si="5"/>
        <v>50</v>
      </c>
      <c r="T40" s="4">
        <v>5</v>
      </c>
      <c r="U40" s="4">
        <v>2</v>
      </c>
      <c r="V40" s="4">
        <v>2</v>
      </c>
      <c r="W40" s="4">
        <f t="shared" si="9"/>
        <v>9</v>
      </c>
      <c r="X40" s="220">
        <f t="shared" si="6"/>
        <v>90</v>
      </c>
      <c r="Y40" s="4">
        <v>5</v>
      </c>
      <c r="Z40" s="4">
        <v>2</v>
      </c>
      <c r="AA40" s="4">
        <v>0</v>
      </c>
      <c r="AB40" s="4">
        <f t="shared" si="11"/>
        <v>7</v>
      </c>
      <c r="AC40" s="220">
        <f t="shared" si="7"/>
        <v>70</v>
      </c>
      <c r="AD40" s="220">
        <v>50</v>
      </c>
    </row>
    <row r="41" spans="1:30" ht="15" customHeight="1" x14ac:dyDescent="0.25">
      <c r="A41" s="4">
        <v>18</v>
      </c>
      <c r="B41" s="218">
        <f>'IAT-REPORT'!C41</f>
        <v>951323243018</v>
      </c>
      <c r="C41" s="227" t="str">
        <f>'IAT-REPORT'!D41</f>
        <v>EFRIN THANASEKARAN J</v>
      </c>
      <c r="D41" s="18"/>
      <c r="E41" s="4">
        <v>5</v>
      </c>
      <c r="F41" s="4">
        <v>2</v>
      </c>
      <c r="G41" s="4">
        <v>3</v>
      </c>
      <c r="H41" s="4">
        <f t="shared" si="0"/>
        <v>10</v>
      </c>
      <c r="I41" s="220">
        <f t="shared" si="1"/>
        <v>100</v>
      </c>
      <c r="J41" s="4">
        <v>5</v>
      </c>
      <c r="K41" s="4">
        <v>2</v>
      </c>
      <c r="L41" s="4">
        <v>3</v>
      </c>
      <c r="M41" s="4">
        <f t="shared" si="8"/>
        <v>10</v>
      </c>
      <c r="N41" s="220">
        <f t="shared" si="3"/>
        <v>100</v>
      </c>
      <c r="O41" s="4">
        <v>5</v>
      </c>
      <c r="P41" s="4">
        <v>2</v>
      </c>
      <c r="Q41" s="4">
        <v>3</v>
      </c>
      <c r="R41" s="4">
        <f t="shared" si="4"/>
        <v>10</v>
      </c>
      <c r="S41" s="220">
        <f t="shared" si="5"/>
        <v>100</v>
      </c>
      <c r="T41" s="4">
        <v>5</v>
      </c>
      <c r="U41" s="4">
        <v>2</v>
      </c>
      <c r="V41" s="4">
        <v>0</v>
      </c>
      <c r="W41" s="4">
        <f t="shared" si="9"/>
        <v>7</v>
      </c>
      <c r="X41" s="220">
        <f t="shared" si="6"/>
        <v>70</v>
      </c>
      <c r="Y41" s="4">
        <v>5</v>
      </c>
      <c r="Z41" s="4">
        <v>2</v>
      </c>
      <c r="AA41" s="4">
        <v>0</v>
      </c>
      <c r="AB41" s="4">
        <f t="shared" si="11"/>
        <v>7</v>
      </c>
      <c r="AC41" s="220">
        <f t="shared" si="7"/>
        <v>70</v>
      </c>
      <c r="AD41" s="220">
        <v>60</v>
      </c>
    </row>
    <row r="42" spans="1:30" ht="15" customHeight="1" x14ac:dyDescent="0.25">
      <c r="A42" s="4">
        <v>19</v>
      </c>
      <c r="B42" s="218">
        <f>'IAT-REPORT'!C42</f>
        <v>951323243019</v>
      </c>
      <c r="C42" s="227" t="str">
        <f>'IAT-REPORT'!D42</f>
        <v>GAYATHRI M</v>
      </c>
      <c r="D42" s="18"/>
      <c r="E42" s="4">
        <v>5</v>
      </c>
      <c r="F42" s="4">
        <v>2</v>
      </c>
      <c r="G42" s="4">
        <v>3</v>
      </c>
      <c r="H42" s="4">
        <f t="shared" si="0"/>
        <v>10</v>
      </c>
      <c r="I42" s="220">
        <f t="shared" si="1"/>
        <v>100</v>
      </c>
      <c r="J42" s="4">
        <v>5</v>
      </c>
      <c r="K42" s="4">
        <v>2</v>
      </c>
      <c r="L42" s="4">
        <v>3</v>
      </c>
      <c r="M42" s="4">
        <f t="shared" si="8"/>
        <v>10</v>
      </c>
      <c r="N42" s="220">
        <f t="shared" si="3"/>
        <v>100</v>
      </c>
      <c r="O42" s="4">
        <v>5</v>
      </c>
      <c r="P42" s="4">
        <v>2</v>
      </c>
      <c r="Q42" s="4">
        <v>3</v>
      </c>
      <c r="R42" s="4">
        <f t="shared" si="4"/>
        <v>10</v>
      </c>
      <c r="S42" s="220">
        <f t="shared" si="5"/>
        <v>100</v>
      </c>
      <c r="T42" s="4">
        <v>5</v>
      </c>
      <c r="U42" s="4">
        <v>2</v>
      </c>
      <c r="V42" s="4">
        <v>3</v>
      </c>
      <c r="W42" s="4">
        <f t="shared" si="9"/>
        <v>10</v>
      </c>
      <c r="X42" s="220">
        <f t="shared" si="6"/>
        <v>100</v>
      </c>
      <c r="Y42" s="4">
        <v>5</v>
      </c>
      <c r="Z42" s="4">
        <v>2</v>
      </c>
      <c r="AA42" s="4">
        <v>0</v>
      </c>
      <c r="AB42" s="4">
        <f t="shared" si="11"/>
        <v>7</v>
      </c>
      <c r="AC42" s="220">
        <f t="shared" si="7"/>
        <v>70</v>
      </c>
      <c r="AD42" s="220">
        <v>60</v>
      </c>
    </row>
    <row r="43" spans="1:30" ht="15" customHeight="1" x14ac:dyDescent="0.25">
      <c r="A43" s="4">
        <v>20</v>
      </c>
      <c r="B43" s="218">
        <f>'IAT-REPORT'!C43</f>
        <v>951323243020</v>
      </c>
      <c r="C43" s="227" t="str">
        <f>'IAT-REPORT'!D43</f>
        <v>GOKILA G</v>
      </c>
      <c r="D43" s="18"/>
      <c r="E43" s="4">
        <v>5</v>
      </c>
      <c r="F43" s="4">
        <v>2</v>
      </c>
      <c r="G43" s="4">
        <v>3</v>
      </c>
      <c r="H43" s="4">
        <f t="shared" si="0"/>
        <v>10</v>
      </c>
      <c r="I43" s="220">
        <f t="shared" si="1"/>
        <v>100</v>
      </c>
      <c r="J43" s="4">
        <v>5</v>
      </c>
      <c r="K43" s="4">
        <v>2</v>
      </c>
      <c r="L43" s="4">
        <v>3</v>
      </c>
      <c r="M43" s="4">
        <f t="shared" si="8"/>
        <v>10</v>
      </c>
      <c r="N43" s="220">
        <f t="shared" si="3"/>
        <v>100</v>
      </c>
      <c r="O43" s="4">
        <v>5</v>
      </c>
      <c r="P43" s="4">
        <v>2</v>
      </c>
      <c r="Q43" s="4">
        <v>3</v>
      </c>
      <c r="R43" s="4">
        <f t="shared" si="4"/>
        <v>10</v>
      </c>
      <c r="S43" s="220">
        <f t="shared" si="5"/>
        <v>100</v>
      </c>
      <c r="T43" s="4">
        <v>5</v>
      </c>
      <c r="U43" s="4">
        <v>2</v>
      </c>
      <c r="V43" s="4">
        <v>3</v>
      </c>
      <c r="W43" s="4">
        <f t="shared" si="9"/>
        <v>10</v>
      </c>
      <c r="X43" s="220">
        <f t="shared" si="6"/>
        <v>100</v>
      </c>
      <c r="Y43" s="4">
        <v>5</v>
      </c>
      <c r="Z43" s="4">
        <v>2</v>
      </c>
      <c r="AA43" s="4">
        <v>2</v>
      </c>
      <c r="AB43" s="4">
        <f t="shared" si="11"/>
        <v>9</v>
      </c>
      <c r="AC43" s="220">
        <f t="shared" si="7"/>
        <v>90</v>
      </c>
      <c r="AD43" s="220">
        <v>100</v>
      </c>
    </row>
    <row r="44" spans="1:30" ht="15" customHeight="1" x14ac:dyDescent="0.25">
      <c r="A44" s="4">
        <v>21</v>
      </c>
      <c r="B44" s="218">
        <f>'IAT-REPORT'!C44</f>
        <v>951323243021</v>
      </c>
      <c r="C44" s="227" t="str">
        <f>'IAT-REPORT'!D44</f>
        <v>GOWRI KRISHNAVENI N</v>
      </c>
      <c r="D44" s="18"/>
      <c r="E44" s="4">
        <v>5</v>
      </c>
      <c r="F44" s="4">
        <v>2</v>
      </c>
      <c r="G44" s="4">
        <v>3</v>
      </c>
      <c r="H44" s="4">
        <f t="shared" si="0"/>
        <v>10</v>
      </c>
      <c r="I44" s="220">
        <f t="shared" si="1"/>
        <v>100</v>
      </c>
      <c r="J44" s="4">
        <v>5</v>
      </c>
      <c r="K44" s="4">
        <v>2</v>
      </c>
      <c r="L44" s="4">
        <v>3</v>
      </c>
      <c r="M44" s="4">
        <f t="shared" si="8"/>
        <v>10</v>
      </c>
      <c r="N44" s="220">
        <f t="shared" si="3"/>
        <v>100</v>
      </c>
      <c r="O44" s="4">
        <v>5</v>
      </c>
      <c r="P44" s="4">
        <v>2</v>
      </c>
      <c r="Q44" s="4">
        <v>3</v>
      </c>
      <c r="R44" s="4">
        <f t="shared" si="4"/>
        <v>10</v>
      </c>
      <c r="S44" s="220">
        <f t="shared" si="5"/>
        <v>100</v>
      </c>
      <c r="T44" s="4">
        <v>5</v>
      </c>
      <c r="U44" s="4">
        <v>2</v>
      </c>
      <c r="V44" s="4">
        <v>3</v>
      </c>
      <c r="W44" s="4">
        <f t="shared" si="9"/>
        <v>10</v>
      </c>
      <c r="X44" s="220">
        <f t="shared" si="6"/>
        <v>100</v>
      </c>
      <c r="Y44" s="4">
        <v>5</v>
      </c>
      <c r="Z44" s="4">
        <v>2</v>
      </c>
      <c r="AA44" s="4">
        <v>0</v>
      </c>
      <c r="AB44" s="4">
        <f t="shared" si="11"/>
        <v>7</v>
      </c>
      <c r="AC44" s="220">
        <f t="shared" si="7"/>
        <v>70</v>
      </c>
      <c r="AD44" s="220">
        <v>60</v>
      </c>
    </row>
    <row r="45" spans="1:30" ht="15" customHeight="1" x14ac:dyDescent="0.25">
      <c r="A45" s="4">
        <v>22</v>
      </c>
      <c r="B45" s="218">
        <f>'IAT-REPORT'!C45</f>
        <v>951323243022</v>
      </c>
      <c r="C45" s="227" t="str">
        <f>'IAT-REPORT'!D45</f>
        <v>HEART BRIGHT MERCY S</v>
      </c>
      <c r="D45" s="18"/>
      <c r="E45" s="4">
        <v>5</v>
      </c>
      <c r="F45" s="4">
        <v>2</v>
      </c>
      <c r="G45" s="4">
        <v>3</v>
      </c>
      <c r="H45" s="4">
        <f t="shared" si="0"/>
        <v>10</v>
      </c>
      <c r="I45" s="220">
        <f t="shared" si="1"/>
        <v>100</v>
      </c>
      <c r="J45" s="4">
        <v>5</v>
      </c>
      <c r="K45" s="4">
        <v>2</v>
      </c>
      <c r="L45" s="4">
        <v>3</v>
      </c>
      <c r="M45" s="4">
        <f t="shared" si="8"/>
        <v>10</v>
      </c>
      <c r="N45" s="220">
        <f t="shared" si="3"/>
        <v>100</v>
      </c>
      <c r="O45" s="4">
        <v>5</v>
      </c>
      <c r="P45" s="4">
        <v>2</v>
      </c>
      <c r="Q45" s="4">
        <v>3</v>
      </c>
      <c r="R45" s="4">
        <f t="shared" si="4"/>
        <v>10</v>
      </c>
      <c r="S45" s="220">
        <f t="shared" si="5"/>
        <v>100</v>
      </c>
      <c r="T45" s="4">
        <v>5</v>
      </c>
      <c r="U45" s="4">
        <v>2</v>
      </c>
      <c r="V45" s="4">
        <v>3</v>
      </c>
      <c r="W45" s="4">
        <f t="shared" si="9"/>
        <v>10</v>
      </c>
      <c r="X45" s="220">
        <f t="shared" si="6"/>
        <v>100</v>
      </c>
      <c r="Y45" s="4">
        <v>5</v>
      </c>
      <c r="Z45" s="4">
        <v>2</v>
      </c>
      <c r="AA45" s="4">
        <v>3</v>
      </c>
      <c r="AB45" s="4">
        <f t="shared" si="11"/>
        <v>10</v>
      </c>
      <c r="AC45" s="220">
        <f t="shared" si="7"/>
        <v>100</v>
      </c>
      <c r="AD45" s="220">
        <v>60</v>
      </c>
    </row>
    <row r="46" spans="1:30" ht="15" customHeight="1" x14ac:dyDescent="0.25">
      <c r="A46" s="4">
        <v>23</v>
      </c>
      <c r="B46" s="218">
        <f>'IAT-REPORT'!C46</f>
        <v>951323243023</v>
      </c>
      <c r="C46" s="227" t="str">
        <f>'IAT-REPORT'!D46</f>
        <v>INFANT EBINESH R</v>
      </c>
      <c r="D46" s="18"/>
      <c r="E46" s="4">
        <v>5</v>
      </c>
      <c r="F46" s="4">
        <v>0</v>
      </c>
      <c r="G46" s="4">
        <v>0</v>
      </c>
      <c r="H46" s="4">
        <f t="shared" si="0"/>
        <v>5</v>
      </c>
      <c r="I46" s="220">
        <f t="shared" si="1"/>
        <v>50</v>
      </c>
      <c r="J46" s="4">
        <v>5</v>
      </c>
      <c r="K46" s="4">
        <v>0</v>
      </c>
      <c r="L46" s="4">
        <v>0</v>
      </c>
      <c r="M46" s="4">
        <f t="shared" si="8"/>
        <v>5</v>
      </c>
      <c r="N46" s="220">
        <f t="shared" si="3"/>
        <v>50</v>
      </c>
      <c r="O46" s="4">
        <v>5</v>
      </c>
      <c r="P46" s="4">
        <v>0</v>
      </c>
      <c r="Q46" s="4">
        <v>0</v>
      </c>
      <c r="R46" s="4">
        <f t="shared" si="4"/>
        <v>5</v>
      </c>
      <c r="S46" s="220">
        <f t="shared" si="5"/>
        <v>50</v>
      </c>
      <c r="T46" s="4">
        <v>5</v>
      </c>
      <c r="U46" s="4">
        <v>2</v>
      </c>
      <c r="V46" s="4">
        <v>0</v>
      </c>
      <c r="W46" s="4">
        <f t="shared" si="9"/>
        <v>7</v>
      </c>
      <c r="X46" s="220">
        <f t="shared" si="6"/>
        <v>70</v>
      </c>
      <c r="Y46" s="4">
        <v>5</v>
      </c>
      <c r="Z46" s="4">
        <v>2</v>
      </c>
      <c r="AA46" s="4">
        <v>0</v>
      </c>
      <c r="AB46" s="4">
        <f t="shared" si="11"/>
        <v>7</v>
      </c>
      <c r="AC46" s="220">
        <f t="shared" si="7"/>
        <v>70</v>
      </c>
      <c r="AD46" s="220">
        <v>50</v>
      </c>
    </row>
    <row r="47" spans="1:30" ht="15" customHeight="1" x14ac:dyDescent="0.25">
      <c r="A47" s="4">
        <v>24</v>
      </c>
      <c r="B47" s="218">
        <f>'IAT-REPORT'!C47</f>
        <v>951323243024</v>
      </c>
      <c r="C47" s="227" t="str">
        <f>'IAT-REPORT'!D47</f>
        <v>JAI SURYA N</v>
      </c>
      <c r="D47" s="18"/>
      <c r="E47" s="4">
        <v>5</v>
      </c>
      <c r="F47" s="4">
        <v>2</v>
      </c>
      <c r="G47" s="4">
        <v>3</v>
      </c>
      <c r="H47" s="4">
        <f t="shared" si="0"/>
        <v>10</v>
      </c>
      <c r="I47" s="220">
        <f t="shared" si="1"/>
        <v>100</v>
      </c>
      <c r="J47" s="4">
        <v>5</v>
      </c>
      <c r="K47" s="4">
        <v>2</v>
      </c>
      <c r="L47" s="4">
        <v>3</v>
      </c>
      <c r="M47" s="4">
        <f t="shared" si="8"/>
        <v>10</v>
      </c>
      <c r="N47" s="220">
        <f t="shared" si="3"/>
        <v>100</v>
      </c>
      <c r="O47" s="4">
        <v>5</v>
      </c>
      <c r="P47" s="4">
        <v>0</v>
      </c>
      <c r="Q47" s="4">
        <v>0</v>
      </c>
      <c r="R47" s="4">
        <f t="shared" si="4"/>
        <v>5</v>
      </c>
      <c r="S47" s="220">
        <f t="shared" si="5"/>
        <v>50</v>
      </c>
      <c r="T47" s="4">
        <v>5</v>
      </c>
      <c r="U47" s="4">
        <v>2</v>
      </c>
      <c r="V47" s="4">
        <v>0</v>
      </c>
      <c r="W47" s="4">
        <f t="shared" si="9"/>
        <v>7</v>
      </c>
      <c r="X47" s="220">
        <f t="shared" si="6"/>
        <v>70</v>
      </c>
      <c r="Y47" s="4">
        <v>5</v>
      </c>
      <c r="Z47" s="4">
        <v>2</v>
      </c>
      <c r="AA47" s="4">
        <v>0</v>
      </c>
      <c r="AB47" s="4">
        <f t="shared" si="11"/>
        <v>7</v>
      </c>
      <c r="AC47" s="220">
        <f t="shared" si="7"/>
        <v>70</v>
      </c>
      <c r="AD47" s="220">
        <v>60</v>
      </c>
    </row>
    <row r="48" spans="1:30" ht="15" customHeight="1" x14ac:dyDescent="0.25">
      <c r="A48" s="4">
        <v>25</v>
      </c>
      <c r="B48" s="218">
        <f>'IAT-REPORT'!C48</f>
        <v>951323243025</v>
      </c>
      <c r="C48" s="227" t="str">
        <f>'IAT-REPORT'!D48</f>
        <v>JANI ALICE THIRSA J</v>
      </c>
      <c r="D48" s="18"/>
      <c r="E48" s="4">
        <v>5</v>
      </c>
      <c r="F48" s="4">
        <v>2</v>
      </c>
      <c r="G48" s="4">
        <v>3</v>
      </c>
      <c r="H48" s="4">
        <f t="shared" si="0"/>
        <v>10</v>
      </c>
      <c r="I48" s="220">
        <f t="shared" si="1"/>
        <v>100</v>
      </c>
      <c r="J48" s="4">
        <v>5</v>
      </c>
      <c r="K48" s="4">
        <v>2</v>
      </c>
      <c r="L48" s="4">
        <v>3</v>
      </c>
      <c r="M48" s="4">
        <f t="shared" si="8"/>
        <v>10</v>
      </c>
      <c r="N48" s="220">
        <f t="shared" si="3"/>
        <v>100</v>
      </c>
      <c r="O48" s="4">
        <v>5</v>
      </c>
      <c r="P48" s="4">
        <v>2</v>
      </c>
      <c r="Q48" s="4">
        <v>3</v>
      </c>
      <c r="R48" s="4">
        <f t="shared" si="4"/>
        <v>10</v>
      </c>
      <c r="S48" s="220">
        <f t="shared" si="5"/>
        <v>100</v>
      </c>
      <c r="T48" s="4">
        <v>5</v>
      </c>
      <c r="U48" s="4">
        <v>2</v>
      </c>
      <c r="V48" s="4">
        <v>3</v>
      </c>
      <c r="W48" s="4">
        <f t="shared" si="9"/>
        <v>10</v>
      </c>
      <c r="X48" s="220">
        <f t="shared" si="6"/>
        <v>100</v>
      </c>
      <c r="Y48" s="4">
        <v>5</v>
      </c>
      <c r="Z48" s="4">
        <v>2</v>
      </c>
      <c r="AA48" s="4">
        <v>0</v>
      </c>
      <c r="AB48" s="4">
        <f t="shared" si="11"/>
        <v>7</v>
      </c>
      <c r="AC48" s="220">
        <f t="shared" si="7"/>
        <v>70</v>
      </c>
      <c r="AD48" s="220">
        <v>70</v>
      </c>
    </row>
    <row r="49" spans="1:30" ht="15" customHeight="1" x14ac:dyDescent="0.25">
      <c r="A49" s="4">
        <v>26</v>
      </c>
      <c r="B49" s="218">
        <f>'IAT-REPORT'!C49</f>
        <v>951323243026</v>
      </c>
      <c r="C49" s="227" t="str">
        <f>'IAT-REPORT'!D49</f>
        <v>JEBA A</v>
      </c>
      <c r="D49" s="18"/>
      <c r="E49" s="4">
        <v>5</v>
      </c>
      <c r="F49" s="4">
        <v>2</v>
      </c>
      <c r="G49" s="4">
        <v>3</v>
      </c>
      <c r="H49" s="4">
        <f t="shared" si="0"/>
        <v>10</v>
      </c>
      <c r="I49" s="220">
        <f t="shared" si="1"/>
        <v>100</v>
      </c>
      <c r="J49" s="4">
        <v>5</v>
      </c>
      <c r="K49" s="4">
        <v>2</v>
      </c>
      <c r="L49" s="4">
        <v>3</v>
      </c>
      <c r="M49" s="4">
        <f t="shared" si="8"/>
        <v>10</v>
      </c>
      <c r="N49" s="220">
        <f t="shared" si="3"/>
        <v>100</v>
      </c>
      <c r="O49" s="4">
        <v>5</v>
      </c>
      <c r="P49" s="4">
        <v>2</v>
      </c>
      <c r="Q49" s="4">
        <v>3</v>
      </c>
      <c r="R49" s="4">
        <f t="shared" si="4"/>
        <v>10</v>
      </c>
      <c r="S49" s="220">
        <f t="shared" si="5"/>
        <v>100</v>
      </c>
      <c r="T49" s="4">
        <v>5</v>
      </c>
      <c r="U49" s="4">
        <v>2</v>
      </c>
      <c r="V49" s="4">
        <v>0</v>
      </c>
      <c r="W49" s="4">
        <f t="shared" si="9"/>
        <v>7</v>
      </c>
      <c r="X49" s="220">
        <f t="shared" si="6"/>
        <v>70</v>
      </c>
      <c r="Y49" s="4">
        <v>5</v>
      </c>
      <c r="Z49" s="4">
        <v>2</v>
      </c>
      <c r="AA49" s="4">
        <v>3</v>
      </c>
      <c r="AB49" s="4">
        <f t="shared" si="11"/>
        <v>10</v>
      </c>
      <c r="AC49" s="220">
        <f t="shared" si="7"/>
        <v>100</v>
      </c>
      <c r="AD49" s="220">
        <v>60</v>
      </c>
    </row>
    <row r="50" spans="1:30" ht="15" customHeight="1" x14ac:dyDescent="0.25">
      <c r="A50" s="4">
        <v>27</v>
      </c>
      <c r="B50" s="218">
        <f>'IAT-REPORT'!C50</f>
        <v>951323243027</v>
      </c>
      <c r="C50" s="227" t="str">
        <f>'IAT-REPORT'!D50</f>
        <v>JENIFER E</v>
      </c>
      <c r="D50" s="18"/>
      <c r="E50" s="4">
        <v>5</v>
      </c>
      <c r="F50" s="4">
        <v>2</v>
      </c>
      <c r="G50" s="4">
        <v>3</v>
      </c>
      <c r="H50" s="4">
        <f t="shared" si="0"/>
        <v>10</v>
      </c>
      <c r="I50" s="220">
        <f t="shared" si="1"/>
        <v>100</v>
      </c>
      <c r="J50" s="4">
        <v>5</v>
      </c>
      <c r="K50" s="4">
        <v>2</v>
      </c>
      <c r="L50" s="4">
        <v>3</v>
      </c>
      <c r="M50" s="4">
        <f t="shared" si="8"/>
        <v>10</v>
      </c>
      <c r="N50" s="220">
        <f t="shared" si="3"/>
        <v>100</v>
      </c>
      <c r="O50" s="4">
        <v>5</v>
      </c>
      <c r="P50" s="4">
        <v>2</v>
      </c>
      <c r="Q50" s="4">
        <v>3</v>
      </c>
      <c r="R50" s="4">
        <f t="shared" si="4"/>
        <v>10</v>
      </c>
      <c r="S50" s="220">
        <f t="shared" si="5"/>
        <v>100</v>
      </c>
      <c r="T50" s="4">
        <v>5</v>
      </c>
      <c r="U50" s="4">
        <v>2</v>
      </c>
      <c r="V50" s="4">
        <v>3</v>
      </c>
      <c r="W50" s="4">
        <f t="shared" si="9"/>
        <v>10</v>
      </c>
      <c r="X50" s="220">
        <f t="shared" si="6"/>
        <v>100</v>
      </c>
      <c r="Y50" s="4">
        <v>5</v>
      </c>
      <c r="Z50" s="4">
        <v>2</v>
      </c>
      <c r="AA50" s="4">
        <v>2</v>
      </c>
      <c r="AB50" s="4">
        <f t="shared" si="11"/>
        <v>9</v>
      </c>
      <c r="AC50" s="220">
        <f t="shared" si="7"/>
        <v>90</v>
      </c>
      <c r="AD50" s="220">
        <v>50</v>
      </c>
    </row>
    <row r="51" spans="1:30" ht="15" customHeight="1" x14ac:dyDescent="0.25">
      <c r="A51" s="4">
        <v>28</v>
      </c>
      <c r="B51" s="218">
        <f>'IAT-REPORT'!C51</f>
        <v>951323243028</v>
      </c>
      <c r="C51" s="227" t="str">
        <f>'IAT-REPORT'!D51</f>
        <v>JENITTA CATHERIN R</v>
      </c>
      <c r="D51" s="18"/>
      <c r="E51" s="4">
        <v>5</v>
      </c>
      <c r="F51" s="4">
        <v>2</v>
      </c>
      <c r="G51" s="4">
        <v>3</v>
      </c>
      <c r="H51" s="4">
        <f t="shared" si="0"/>
        <v>10</v>
      </c>
      <c r="I51" s="220">
        <f t="shared" si="1"/>
        <v>100</v>
      </c>
      <c r="J51" s="4">
        <v>5</v>
      </c>
      <c r="K51" s="4">
        <v>2</v>
      </c>
      <c r="L51" s="4">
        <v>3</v>
      </c>
      <c r="M51" s="4">
        <f t="shared" si="8"/>
        <v>10</v>
      </c>
      <c r="N51" s="220">
        <f t="shared" si="3"/>
        <v>100</v>
      </c>
      <c r="O51" s="4">
        <v>5</v>
      </c>
      <c r="P51" s="4">
        <v>2</v>
      </c>
      <c r="Q51" s="4">
        <v>3</v>
      </c>
      <c r="R51" s="4">
        <f t="shared" si="4"/>
        <v>10</v>
      </c>
      <c r="S51" s="220">
        <f t="shared" si="5"/>
        <v>100</v>
      </c>
      <c r="T51" s="4">
        <v>5</v>
      </c>
      <c r="U51" s="4">
        <v>2</v>
      </c>
      <c r="V51" s="4">
        <v>3</v>
      </c>
      <c r="W51" s="4">
        <f t="shared" si="9"/>
        <v>10</v>
      </c>
      <c r="X51" s="220">
        <f t="shared" si="6"/>
        <v>100</v>
      </c>
      <c r="Y51" s="4">
        <v>5</v>
      </c>
      <c r="Z51" s="4">
        <v>2</v>
      </c>
      <c r="AA51" s="4">
        <v>0</v>
      </c>
      <c r="AB51" s="4">
        <f t="shared" si="11"/>
        <v>7</v>
      </c>
      <c r="AC51" s="220">
        <f t="shared" si="7"/>
        <v>70</v>
      </c>
      <c r="AD51" s="220">
        <v>90</v>
      </c>
    </row>
    <row r="52" spans="1:30" ht="15" customHeight="1" x14ac:dyDescent="0.25">
      <c r="A52" s="4">
        <v>29</v>
      </c>
      <c r="B52" s="218">
        <f>'IAT-REPORT'!C52</f>
        <v>951323243029</v>
      </c>
      <c r="C52" s="227" t="str">
        <f>'IAT-REPORT'!D52</f>
        <v>JEYACHITHRA K</v>
      </c>
      <c r="D52" s="18"/>
      <c r="E52" s="4">
        <v>5</v>
      </c>
      <c r="F52" s="4">
        <v>2</v>
      </c>
      <c r="G52" s="4">
        <v>3</v>
      </c>
      <c r="H52" s="4">
        <f t="shared" si="0"/>
        <v>10</v>
      </c>
      <c r="I52" s="220">
        <f t="shared" si="1"/>
        <v>100</v>
      </c>
      <c r="J52" s="4">
        <v>5</v>
      </c>
      <c r="K52" s="4">
        <v>2</v>
      </c>
      <c r="L52" s="4">
        <v>3</v>
      </c>
      <c r="M52" s="4">
        <f t="shared" si="8"/>
        <v>10</v>
      </c>
      <c r="N52" s="220">
        <f t="shared" si="3"/>
        <v>100</v>
      </c>
      <c r="O52" s="4">
        <v>5</v>
      </c>
      <c r="P52" s="4">
        <v>2</v>
      </c>
      <c r="Q52" s="4">
        <v>0</v>
      </c>
      <c r="R52" s="4">
        <f t="shared" si="4"/>
        <v>7</v>
      </c>
      <c r="S52" s="220">
        <f t="shared" si="5"/>
        <v>70</v>
      </c>
      <c r="T52" s="4">
        <v>5</v>
      </c>
      <c r="U52" s="4">
        <v>2</v>
      </c>
      <c r="V52" s="4">
        <v>3</v>
      </c>
      <c r="W52" s="4">
        <f t="shared" si="9"/>
        <v>10</v>
      </c>
      <c r="X52" s="220">
        <f t="shared" si="6"/>
        <v>100</v>
      </c>
      <c r="Y52" s="4">
        <v>5</v>
      </c>
      <c r="Z52" s="4">
        <v>2</v>
      </c>
      <c r="AA52" s="4">
        <v>3</v>
      </c>
      <c r="AB52" s="4">
        <f t="shared" si="11"/>
        <v>10</v>
      </c>
      <c r="AC52" s="220">
        <f t="shared" si="7"/>
        <v>100</v>
      </c>
      <c r="AD52" s="220">
        <v>50</v>
      </c>
    </row>
    <row r="53" spans="1:30" ht="15" customHeight="1" x14ac:dyDescent="0.25">
      <c r="A53" s="4">
        <v>30</v>
      </c>
      <c r="B53" s="218">
        <f>'IAT-REPORT'!C53</f>
        <v>951323243030</v>
      </c>
      <c r="C53" s="227" t="str">
        <f>'IAT-REPORT'!D53</f>
        <v>JOSVA PRINCE R</v>
      </c>
      <c r="D53" s="18"/>
      <c r="E53" s="4">
        <v>5</v>
      </c>
      <c r="F53" s="4">
        <v>2</v>
      </c>
      <c r="G53" s="4">
        <v>3</v>
      </c>
      <c r="H53" s="4">
        <f t="shared" si="0"/>
        <v>10</v>
      </c>
      <c r="I53" s="220">
        <f t="shared" si="1"/>
        <v>100</v>
      </c>
      <c r="J53" s="4">
        <v>5</v>
      </c>
      <c r="K53" s="4">
        <v>2</v>
      </c>
      <c r="L53" s="4">
        <v>3</v>
      </c>
      <c r="M53" s="4">
        <f t="shared" si="8"/>
        <v>10</v>
      </c>
      <c r="N53" s="220">
        <f t="shared" si="3"/>
        <v>100</v>
      </c>
      <c r="O53" s="4">
        <v>5</v>
      </c>
      <c r="P53" s="4">
        <v>2</v>
      </c>
      <c r="Q53" s="4">
        <v>0</v>
      </c>
      <c r="R53" s="4">
        <f t="shared" si="4"/>
        <v>7</v>
      </c>
      <c r="S53" s="220">
        <f t="shared" si="5"/>
        <v>70</v>
      </c>
      <c r="T53" s="4">
        <v>5</v>
      </c>
      <c r="U53" s="4">
        <v>2</v>
      </c>
      <c r="V53" s="4">
        <v>0</v>
      </c>
      <c r="W53" s="4">
        <f t="shared" si="9"/>
        <v>7</v>
      </c>
      <c r="X53" s="220">
        <f t="shared" si="6"/>
        <v>70</v>
      </c>
      <c r="Y53" s="4">
        <v>5</v>
      </c>
      <c r="Z53" s="4">
        <v>2</v>
      </c>
      <c r="AA53" s="4">
        <v>0</v>
      </c>
      <c r="AB53" s="4">
        <f t="shared" si="11"/>
        <v>7</v>
      </c>
      <c r="AC53" s="220">
        <f t="shared" si="7"/>
        <v>70</v>
      </c>
      <c r="AD53" s="220">
        <v>60</v>
      </c>
    </row>
    <row r="54" spans="1:30" ht="15" customHeight="1" x14ac:dyDescent="0.25">
      <c r="A54" s="4">
        <v>31</v>
      </c>
      <c r="B54" s="218">
        <f>'IAT-REPORT'!C54</f>
        <v>951323243031</v>
      </c>
      <c r="C54" s="227" t="str">
        <f>'IAT-REPORT'!D54</f>
        <v>KALAI SELVAN VINOTH P</v>
      </c>
      <c r="D54" s="18"/>
      <c r="E54" s="4">
        <v>5</v>
      </c>
      <c r="F54" s="4">
        <v>2</v>
      </c>
      <c r="G54" s="4">
        <v>3</v>
      </c>
      <c r="H54" s="4">
        <f t="shared" si="0"/>
        <v>10</v>
      </c>
      <c r="I54" s="220">
        <f t="shared" si="1"/>
        <v>100</v>
      </c>
      <c r="J54" s="4">
        <v>5</v>
      </c>
      <c r="K54" s="4">
        <v>2</v>
      </c>
      <c r="L54" s="4">
        <v>3</v>
      </c>
      <c r="M54" s="4">
        <f t="shared" si="8"/>
        <v>10</v>
      </c>
      <c r="N54" s="220">
        <f t="shared" si="3"/>
        <v>100</v>
      </c>
      <c r="O54" s="4">
        <v>5</v>
      </c>
      <c r="P54" s="4">
        <v>2</v>
      </c>
      <c r="Q54" s="4">
        <v>3</v>
      </c>
      <c r="R54" s="4">
        <f t="shared" si="4"/>
        <v>10</v>
      </c>
      <c r="S54" s="220">
        <f t="shared" si="5"/>
        <v>100</v>
      </c>
      <c r="T54" s="4">
        <v>5</v>
      </c>
      <c r="U54" s="4">
        <v>2</v>
      </c>
      <c r="V54" s="4">
        <v>0</v>
      </c>
      <c r="W54" s="4">
        <f t="shared" si="9"/>
        <v>7</v>
      </c>
      <c r="X54" s="220">
        <f t="shared" si="6"/>
        <v>70</v>
      </c>
      <c r="Y54" s="4">
        <v>5</v>
      </c>
      <c r="Z54" s="4">
        <v>2</v>
      </c>
      <c r="AA54" s="4">
        <v>0</v>
      </c>
      <c r="AB54" s="4">
        <f t="shared" si="11"/>
        <v>7</v>
      </c>
      <c r="AC54" s="220">
        <f t="shared" si="7"/>
        <v>70</v>
      </c>
      <c r="AD54" s="220">
        <v>60</v>
      </c>
    </row>
    <row r="55" spans="1:30" ht="15" customHeight="1" x14ac:dyDescent="0.25">
      <c r="A55" s="4">
        <v>32</v>
      </c>
      <c r="B55" s="218">
        <f>'IAT-REPORT'!C55</f>
        <v>951323243032</v>
      </c>
      <c r="C55" s="227" t="str">
        <f>'IAT-REPORT'!D55</f>
        <v>LAKSHMANAN SARATHI S</v>
      </c>
      <c r="D55" s="18"/>
      <c r="E55" s="4">
        <v>5</v>
      </c>
      <c r="F55" s="4">
        <v>2</v>
      </c>
      <c r="G55" s="4">
        <v>3</v>
      </c>
      <c r="H55" s="4">
        <f t="shared" si="0"/>
        <v>10</v>
      </c>
      <c r="I55" s="220">
        <f t="shared" si="1"/>
        <v>100</v>
      </c>
      <c r="J55" s="4">
        <v>5</v>
      </c>
      <c r="K55" s="4">
        <v>2</v>
      </c>
      <c r="L55" s="4">
        <v>3</v>
      </c>
      <c r="M55" s="4">
        <f t="shared" si="8"/>
        <v>10</v>
      </c>
      <c r="N55" s="220">
        <f t="shared" si="3"/>
        <v>100</v>
      </c>
      <c r="O55" s="4">
        <v>5</v>
      </c>
      <c r="P55" s="4">
        <v>2</v>
      </c>
      <c r="Q55" s="4">
        <v>3</v>
      </c>
      <c r="R55" s="4">
        <f t="shared" si="4"/>
        <v>10</v>
      </c>
      <c r="S55" s="220">
        <f t="shared" si="5"/>
        <v>100</v>
      </c>
      <c r="T55" s="4">
        <v>5</v>
      </c>
      <c r="U55" s="4">
        <v>2</v>
      </c>
      <c r="V55" s="4">
        <v>0</v>
      </c>
      <c r="W55" s="4">
        <f t="shared" si="9"/>
        <v>7</v>
      </c>
      <c r="X55" s="220">
        <f t="shared" si="6"/>
        <v>70</v>
      </c>
      <c r="Y55" s="4">
        <v>5</v>
      </c>
      <c r="Z55" s="4">
        <v>2</v>
      </c>
      <c r="AA55" s="4">
        <v>0</v>
      </c>
      <c r="AB55" s="4">
        <f t="shared" si="11"/>
        <v>7</v>
      </c>
      <c r="AC55" s="220">
        <f t="shared" si="7"/>
        <v>70</v>
      </c>
      <c r="AD55" s="220">
        <v>70</v>
      </c>
    </row>
    <row r="56" spans="1:30" ht="15" customHeight="1" x14ac:dyDescent="0.25">
      <c r="A56" s="4">
        <v>33</v>
      </c>
      <c r="B56" s="218">
        <f>'IAT-REPORT'!C56</f>
        <v>951323243033</v>
      </c>
      <c r="C56" s="227" t="str">
        <f>'IAT-REPORT'!D56</f>
        <v>LIJO DURAISINGH V S</v>
      </c>
      <c r="D56" s="18"/>
      <c r="E56" s="4">
        <v>5</v>
      </c>
      <c r="F56" s="4">
        <v>2</v>
      </c>
      <c r="G56" s="4">
        <v>3</v>
      </c>
      <c r="H56" s="4">
        <f t="shared" si="0"/>
        <v>10</v>
      </c>
      <c r="I56" s="220">
        <f t="shared" si="1"/>
        <v>100</v>
      </c>
      <c r="J56" s="4">
        <v>5</v>
      </c>
      <c r="K56" s="4">
        <v>2</v>
      </c>
      <c r="L56" s="4">
        <v>3</v>
      </c>
      <c r="M56" s="4">
        <f t="shared" si="8"/>
        <v>10</v>
      </c>
      <c r="N56" s="220">
        <f t="shared" si="3"/>
        <v>100</v>
      </c>
      <c r="O56" s="4">
        <v>5</v>
      </c>
      <c r="P56" s="4">
        <v>2</v>
      </c>
      <c r="Q56" s="4">
        <v>3</v>
      </c>
      <c r="R56" s="4">
        <f t="shared" si="4"/>
        <v>10</v>
      </c>
      <c r="S56" s="220">
        <f t="shared" si="5"/>
        <v>100</v>
      </c>
      <c r="T56" s="4">
        <v>5</v>
      </c>
      <c r="U56" s="4">
        <v>2</v>
      </c>
      <c r="V56" s="4">
        <v>0</v>
      </c>
      <c r="W56" s="4">
        <f t="shared" si="9"/>
        <v>7</v>
      </c>
      <c r="X56" s="220">
        <f t="shared" si="6"/>
        <v>70</v>
      </c>
      <c r="Y56" s="4">
        <v>5</v>
      </c>
      <c r="Z56" s="4">
        <v>2</v>
      </c>
      <c r="AA56" s="4">
        <v>0</v>
      </c>
      <c r="AB56" s="4">
        <f t="shared" si="11"/>
        <v>7</v>
      </c>
      <c r="AC56" s="220">
        <f t="shared" si="7"/>
        <v>70</v>
      </c>
      <c r="AD56" s="220">
        <v>60</v>
      </c>
    </row>
    <row r="57" spans="1:30" ht="15" customHeight="1" x14ac:dyDescent="0.25">
      <c r="A57" s="4">
        <v>34</v>
      </c>
      <c r="B57" s="218">
        <f>'IAT-REPORT'!C57</f>
        <v>951323243034</v>
      </c>
      <c r="C57" s="227" t="str">
        <f>'IAT-REPORT'!D57</f>
        <v>LOVISAL JOY K</v>
      </c>
      <c r="D57" s="18"/>
      <c r="E57" s="4">
        <v>5</v>
      </c>
      <c r="F57" s="4">
        <v>2</v>
      </c>
      <c r="G57" s="4">
        <v>3</v>
      </c>
      <c r="H57" s="4">
        <f t="shared" si="0"/>
        <v>10</v>
      </c>
      <c r="I57" s="220">
        <f t="shared" si="1"/>
        <v>100</v>
      </c>
      <c r="J57" s="4">
        <v>5</v>
      </c>
      <c r="K57" s="4">
        <v>2</v>
      </c>
      <c r="L57" s="4">
        <v>3</v>
      </c>
      <c r="M57" s="4">
        <f t="shared" si="8"/>
        <v>10</v>
      </c>
      <c r="N57" s="220">
        <f t="shared" si="3"/>
        <v>100</v>
      </c>
      <c r="O57" s="4">
        <v>5</v>
      </c>
      <c r="P57" s="4">
        <v>2</v>
      </c>
      <c r="Q57" s="4">
        <v>3</v>
      </c>
      <c r="R57" s="4">
        <f t="shared" si="4"/>
        <v>10</v>
      </c>
      <c r="S57" s="220">
        <f t="shared" si="5"/>
        <v>100</v>
      </c>
      <c r="T57" s="4">
        <v>5</v>
      </c>
      <c r="U57" s="4">
        <v>2</v>
      </c>
      <c r="V57" s="4">
        <v>3</v>
      </c>
      <c r="W57" s="4">
        <f t="shared" si="9"/>
        <v>10</v>
      </c>
      <c r="X57" s="220">
        <f t="shared" si="6"/>
        <v>100</v>
      </c>
      <c r="Y57" s="4">
        <v>5</v>
      </c>
      <c r="Z57" s="4">
        <v>2</v>
      </c>
      <c r="AA57" s="4">
        <v>0</v>
      </c>
      <c r="AB57" s="4">
        <f t="shared" si="11"/>
        <v>7</v>
      </c>
      <c r="AC57" s="220">
        <f t="shared" si="7"/>
        <v>70</v>
      </c>
      <c r="AD57" s="220">
        <v>50</v>
      </c>
    </row>
    <row r="58" spans="1:30" ht="15" customHeight="1" x14ac:dyDescent="0.25">
      <c r="A58" s="4">
        <v>35</v>
      </c>
      <c r="B58" s="218">
        <f>'IAT-REPORT'!C58</f>
        <v>951323243035</v>
      </c>
      <c r="C58" s="227" t="str">
        <f>'IAT-REPORT'!D58</f>
        <v>MAGESH GOWRI S</v>
      </c>
      <c r="D58" s="18"/>
      <c r="E58" s="4">
        <v>5</v>
      </c>
      <c r="F58" s="4">
        <v>2</v>
      </c>
      <c r="G58" s="4">
        <v>3</v>
      </c>
      <c r="H58" s="4">
        <f t="shared" si="0"/>
        <v>10</v>
      </c>
      <c r="I58" s="220">
        <f t="shared" si="1"/>
        <v>100</v>
      </c>
      <c r="J58" s="4">
        <v>5</v>
      </c>
      <c r="K58" s="4">
        <v>2</v>
      </c>
      <c r="L58" s="4">
        <v>3</v>
      </c>
      <c r="M58" s="4">
        <f t="shared" si="8"/>
        <v>10</v>
      </c>
      <c r="N58" s="220">
        <f t="shared" si="3"/>
        <v>100</v>
      </c>
      <c r="O58" s="4">
        <v>5</v>
      </c>
      <c r="P58" s="4">
        <v>2</v>
      </c>
      <c r="Q58" s="4">
        <v>3</v>
      </c>
      <c r="R58" s="4">
        <f t="shared" si="4"/>
        <v>10</v>
      </c>
      <c r="S58" s="220">
        <f t="shared" si="5"/>
        <v>100</v>
      </c>
      <c r="T58" s="4">
        <v>5</v>
      </c>
      <c r="U58" s="4">
        <v>2</v>
      </c>
      <c r="V58" s="4">
        <v>3</v>
      </c>
      <c r="W58" s="4">
        <f t="shared" si="9"/>
        <v>10</v>
      </c>
      <c r="X58" s="220">
        <f t="shared" si="6"/>
        <v>100</v>
      </c>
      <c r="Y58" s="4">
        <v>5</v>
      </c>
      <c r="Z58" s="4">
        <v>2</v>
      </c>
      <c r="AA58" s="4">
        <v>0</v>
      </c>
      <c r="AB58" s="4">
        <f t="shared" si="11"/>
        <v>7</v>
      </c>
      <c r="AC58" s="220">
        <f t="shared" si="7"/>
        <v>70</v>
      </c>
      <c r="AD58" s="220">
        <v>90</v>
      </c>
    </row>
    <row r="59" spans="1:30" ht="15" customHeight="1" x14ac:dyDescent="0.25">
      <c r="A59" s="4">
        <v>36</v>
      </c>
      <c r="B59" s="218">
        <f>'IAT-REPORT'!C59</f>
        <v>951323243036</v>
      </c>
      <c r="C59" s="227" t="str">
        <f>'IAT-REPORT'!D59</f>
        <v>MARIMUTHU S</v>
      </c>
      <c r="D59" s="18"/>
      <c r="E59" s="4">
        <v>5</v>
      </c>
      <c r="F59" s="4">
        <v>2</v>
      </c>
      <c r="G59" s="4">
        <v>3</v>
      </c>
      <c r="H59" s="4">
        <f t="shared" si="0"/>
        <v>10</v>
      </c>
      <c r="I59" s="220">
        <f t="shared" si="1"/>
        <v>100</v>
      </c>
      <c r="J59" s="4">
        <v>5</v>
      </c>
      <c r="K59" s="4">
        <v>2</v>
      </c>
      <c r="L59" s="4">
        <v>3</v>
      </c>
      <c r="M59" s="4">
        <f t="shared" si="8"/>
        <v>10</v>
      </c>
      <c r="N59" s="220">
        <f t="shared" si="3"/>
        <v>100</v>
      </c>
      <c r="O59" s="4">
        <v>5</v>
      </c>
      <c r="P59" s="4">
        <v>2</v>
      </c>
      <c r="Q59" s="4">
        <v>3</v>
      </c>
      <c r="R59" s="4">
        <f t="shared" si="4"/>
        <v>10</v>
      </c>
      <c r="S59" s="220">
        <f t="shared" si="5"/>
        <v>100</v>
      </c>
      <c r="T59" s="4">
        <v>5</v>
      </c>
      <c r="U59" s="4">
        <v>2</v>
      </c>
      <c r="V59" s="4">
        <v>3</v>
      </c>
      <c r="W59" s="4">
        <f t="shared" si="9"/>
        <v>10</v>
      </c>
      <c r="X59" s="220">
        <f t="shared" si="6"/>
        <v>100</v>
      </c>
      <c r="Y59" s="4">
        <v>5</v>
      </c>
      <c r="Z59" s="4">
        <v>2</v>
      </c>
      <c r="AA59" s="4">
        <v>0</v>
      </c>
      <c r="AB59" s="4">
        <f t="shared" si="11"/>
        <v>7</v>
      </c>
      <c r="AC59" s="220">
        <f t="shared" si="7"/>
        <v>70</v>
      </c>
      <c r="AD59" s="220">
        <v>60</v>
      </c>
    </row>
    <row r="60" spans="1:30" ht="15" customHeight="1" x14ac:dyDescent="0.25">
      <c r="A60" s="4">
        <v>37</v>
      </c>
      <c r="B60" s="218">
        <f>'IAT-REPORT'!C60</f>
        <v>951323243037</v>
      </c>
      <c r="C60" s="227" t="str">
        <f>'IAT-REPORT'!D60</f>
        <v>MARIYA FATHIMA JEYARANI R</v>
      </c>
      <c r="D60" s="18"/>
      <c r="E60" s="4">
        <v>5</v>
      </c>
      <c r="F60" s="4">
        <v>2</v>
      </c>
      <c r="G60" s="4">
        <v>3</v>
      </c>
      <c r="H60" s="4">
        <f t="shared" si="0"/>
        <v>10</v>
      </c>
      <c r="I60" s="220">
        <f t="shared" si="1"/>
        <v>100</v>
      </c>
      <c r="J60" s="4">
        <v>5</v>
      </c>
      <c r="K60" s="4">
        <v>2</v>
      </c>
      <c r="L60" s="4">
        <v>3</v>
      </c>
      <c r="M60" s="4">
        <f t="shared" si="8"/>
        <v>10</v>
      </c>
      <c r="N60" s="220">
        <f t="shared" si="3"/>
        <v>100</v>
      </c>
      <c r="O60" s="4">
        <v>5</v>
      </c>
      <c r="P60" s="4">
        <v>0</v>
      </c>
      <c r="Q60" s="4">
        <v>0</v>
      </c>
      <c r="R60" s="4">
        <f t="shared" si="4"/>
        <v>5</v>
      </c>
      <c r="S60" s="220">
        <f t="shared" si="5"/>
        <v>50</v>
      </c>
      <c r="T60" s="4">
        <v>5</v>
      </c>
      <c r="U60" s="4">
        <v>2</v>
      </c>
      <c r="V60" s="4">
        <v>3</v>
      </c>
      <c r="W60" s="4">
        <f t="shared" si="9"/>
        <v>10</v>
      </c>
      <c r="X60" s="220">
        <f t="shared" si="6"/>
        <v>100</v>
      </c>
      <c r="Y60" s="4">
        <v>5</v>
      </c>
      <c r="Z60" s="4">
        <v>2</v>
      </c>
      <c r="AA60" s="4">
        <v>0</v>
      </c>
      <c r="AB60" s="4">
        <f t="shared" si="11"/>
        <v>7</v>
      </c>
      <c r="AC60" s="220">
        <f t="shared" si="7"/>
        <v>70</v>
      </c>
      <c r="AD60" s="220">
        <v>100</v>
      </c>
    </row>
    <row r="61" spans="1:30" ht="15" customHeight="1" x14ac:dyDescent="0.25">
      <c r="A61" s="4">
        <v>38</v>
      </c>
      <c r="B61" s="218">
        <f>'IAT-REPORT'!C61</f>
        <v>951323243038</v>
      </c>
      <c r="C61" s="227" t="str">
        <f>'IAT-REPORT'!D61</f>
        <v>MARTIN PRISCA D</v>
      </c>
      <c r="D61" s="18"/>
      <c r="E61" s="4">
        <v>5</v>
      </c>
      <c r="F61" s="4">
        <v>2</v>
      </c>
      <c r="G61" s="4">
        <v>3</v>
      </c>
      <c r="H61" s="4">
        <f t="shared" si="0"/>
        <v>10</v>
      </c>
      <c r="I61" s="220">
        <f t="shared" si="1"/>
        <v>100</v>
      </c>
      <c r="J61" s="4">
        <v>5</v>
      </c>
      <c r="K61" s="4">
        <v>2</v>
      </c>
      <c r="L61" s="4">
        <v>3</v>
      </c>
      <c r="M61" s="4">
        <f t="shared" si="8"/>
        <v>10</v>
      </c>
      <c r="N61" s="220">
        <f t="shared" si="3"/>
        <v>100</v>
      </c>
      <c r="O61" s="4">
        <v>5</v>
      </c>
      <c r="P61" s="4">
        <v>2</v>
      </c>
      <c r="Q61" s="4">
        <v>3</v>
      </c>
      <c r="R61" s="4">
        <f t="shared" si="4"/>
        <v>10</v>
      </c>
      <c r="S61" s="220">
        <f t="shared" si="5"/>
        <v>100</v>
      </c>
      <c r="T61" s="4">
        <v>5</v>
      </c>
      <c r="U61" s="4">
        <v>2</v>
      </c>
      <c r="V61" s="4">
        <v>3</v>
      </c>
      <c r="W61" s="4">
        <f t="shared" si="9"/>
        <v>10</v>
      </c>
      <c r="X61" s="220">
        <f t="shared" si="6"/>
        <v>100</v>
      </c>
      <c r="Y61" s="4">
        <v>5</v>
      </c>
      <c r="Z61" s="4">
        <v>2</v>
      </c>
      <c r="AA61" s="4">
        <v>3</v>
      </c>
      <c r="AB61" s="4">
        <f t="shared" si="11"/>
        <v>10</v>
      </c>
      <c r="AC61" s="220">
        <f t="shared" si="7"/>
        <v>100</v>
      </c>
      <c r="AD61" s="220">
        <v>100</v>
      </c>
    </row>
    <row r="62" spans="1:30" ht="15" customHeight="1" x14ac:dyDescent="0.25">
      <c r="A62" s="4">
        <v>39</v>
      </c>
      <c r="B62" s="218">
        <f>'IAT-REPORT'!C62</f>
        <v>951323243039</v>
      </c>
      <c r="C62" s="227" t="str">
        <f>'IAT-REPORT'!D62</f>
        <v>MERLIN HEPSIBA K</v>
      </c>
      <c r="D62" s="18"/>
      <c r="E62" s="4">
        <v>5</v>
      </c>
      <c r="F62" s="4">
        <v>2</v>
      </c>
      <c r="G62" s="4">
        <v>3</v>
      </c>
      <c r="H62" s="4">
        <f t="shared" si="0"/>
        <v>10</v>
      </c>
      <c r="I62" s="220">
        <f t="shared" si="1"/>
        <v>100</v>
      </c>
      <c r="J62" s="4">
        <v>5</v>
      </c>
      <c r="K62" s="4">
        <v>2</v>
      </c>
      <c r="L62" s="4">
        <v>3</v>
      </c>
      <c r="M62" s="4">
        <f t="shared" si="8"/>
        <v>10</v>
      </c>
      <c r="N62" s="220">
        <f t="shared" si="3"/>
        <v>100</v>
      </c>
      <c r="O62" s="4">
        <v>5</v>
      </c>
      <c r="P62" s="4">
        <v>2</v>
      </c>
      <c r="Q62" s="4">
        <v>3</v>
      </c>
      <c r="R62" s="4">
        <f t="shared" si="4"/>
        <v>10</v>
      </c>
      <c r="S62" s="220">
        <f t="shared" si="5"/>
        <v>100</v>
      </c>
      <c r="T62" s="4">
        <v>5</v>
      </c>
      <c r="U62" s="4">
        <v>2</v>
      </c>
      <c r="V62" s="4">
        <v>3</v>
      </c>
      <c r="W62" s="4">
        <f t="shared" si="9"/>
        <v>10</v>
      </c>
      <c r="X62" s="220">
        <f t="shared" si="6"/>
        <v>100</v>
      </c>
      <c r="Y62" s="4">
        <v>5</v>
      </c>
      <c r="Z62" s="4">
        <v>2</v>
      </c>
      <c r="AA62" s="4">
        <v>0</v>
      </c>
      <c r="AB62" s="4">
        <f t="shared" si="11"/>
        <v>7</v>
      </c>
      <c r="AC62" s="220">
        <f t="shared" si="7"/>
        <v>70</v>
      </c>
      <c r="AD62" s="220">
        <v>60</v>
      </c>
    </row>
    <row r="63" spans="1:30" ht="15" customHeight="1" x14ac:dyDescent="0.25">
      <c r="A63" s="4">
        <v>40</v>
      </c>
      <c r="B63" s="218">
        <f>'IAT-REPORT'!C63</f>
        <v>951323243042</v>
      </c>
      <c r="C63" s="227" t="str">
        <f>'IAT-REPORT'!D63</f>
        <v>MUTHUPRASANNA M</v>
      </c>
      <c r="D63" s="18"/>
      <c r="E63" s="4">
        <v>5</v>
      </c>
      <c r="F63" s="4">
        <v>2</v>
      </c>
      <c r="G63" s="4">
        <v>3</v>
      </c>
      <c r="H63" s="4">
        <f t="shared" si="0"/>
        <v>10</v>
      </c>
      <c r="I63" s="220">
        <f t="shared" si="1"/>
        <v>100</v>
      </c>
      <c r="J63" s="4">
        <v>5</v>
      </c>
      <c r="K63" s="4">
        <v>2</v>
      </c>
      <c r="L63" s="4">
        <v>3</v>
      </c>
      <c r="M63" s="4">
        <f t="shared" si="8"/>
        <v>10</v>
      </c>
      <c r="N63" s="220">
        <f t="shared" si="3"/>
        <v>100</v>
      </c>
      <c r="O63" s="4">
        <v>5</v>
      </c>
      <c r="P63" s="4">
        <v>2</v>
      </c>
      <c r="Q63" s="4">
        <v>3</v>
      </c>
      <c r="R63" s="4">
        <f t="shared" si="4"/>
        <v>10</v>
      </c>
      <c r="S63" s="220">
        <f t="shared" si="5"/>
        <v>100</v>
      </c>
      <c r="T63" s="4">
        <v>5</v>
      </c>
      <c r="U63" s="4">
        <v>2</v>
      </c>
      <c r="V63" s="4">
        <v>0</v>
      </c>
      <c r="W63" s="4">
        <f t="shared" si="9"/>
        <v>7</v>
      </c>
      <c r="X63" s="220">
        <f t="shared" si="6"/>
        <v>70</v>
      </c>
      <c r="Y63" s="4">
        <v>5</v>
      </c>
      <c r="Z63" s="4">
        <v>2</v>
      </c>
      <c r="AA63" s="4">
        <v>3</v>
      </c>
      <c r="AB63" s="4">
        <f t="shared" si="11"/>
        <v>10</v>
      </c>
      <c r="AC63" s="220">
        <f t="shared" si="7"/>
        <v>100</v>
      </c>
      <c r="AD63" s="220">
        <v>60</v>
      </c>
    </row>
    <row r="64" spans="1:30" ht="15" customHeight="1" x14ac:dyDescent="0.25">
      <c r="A64" s="4">
        <v>41</v>
      </c>
      <c r="B64" s="218">
        <f>'IAT-REPORT'!C64</f>
        <v>951323243043</v>
      </c>
      <c r="C64" s="227" t="str">
        <f>'IAT-REPORT'!D64</f>
        <v>MUTHURAJ M</v>
      </c>
      <c r="D64" s="18"/>
      <c r="E64" s="4">
        <v>5</v>
      </c>
      <c r="F64" s="4">
        <v>2</v>
      </c>
      <c r="G64" s="4">
        <v>3</v>
      </c>
      <c r="H64" s="4">
        <f t="shared" si="0"/>
        <v>10</v>
      </c>
      <c r="I64" s="220">
        <f t="shared" si="1"/>
        <v>100</v>
      </c>
      <c r="J64" s="4">
        <v>5</v>
      </c>
      <c r="K64" s="4">
        <v>2</v>
      </c>
      <c r="L64" s="4">
        <v>3</v>
      </c>
      <c r="M64" s="4">
        <f t="shared" si="8"/>
        <v>10</v>
      </c>
      <c r="N64" s="220">
        <f t="shared" si="3"/>
        <v>100</v>
      </c>
      <c r="O64" s="4">
        <v>5</v>
      </c>
      <c r="P64" s="4">
        <v>0</v>
      </c>
      <c r="Q64" s="4">
        <v>0</v>
      </c>
      <c r="R64" s="4">
        <f t="shared" si="4"/>
        <v>5</v>
      </c>
      <c r="S64" s="220">
        <f t="shared" si="5"/>
        <v>50</v>
      </c>
      <c r="T64" s="4">
        <v>5</v>
      </c>
      <c r="U64" s="4">
        <v>2</v>
      </c>
      <c r="V64" s="4">
        <v>3</v>
      </c>
      <c r="W64" s="4">
        <f t="shared" si="9"/>
        <v>10</v>
      </c>
      <c r="X64" s="220">
        <f t="shared" si="6"/>
        <v>100</v>
      </c>
      <c r="Y64" s="4">
        <v>5</v>
      </c>
      <c r="Z64" s="4">
        <v>2</v>
      </c>
      <c r="AA64" s="4">
        <v>0</v>
      </c>
      <c r="AB64" s="4">
        <f t="shared" si="11"/>
        <v>7</v>
      </c>
      <c r="AC64" s="220">
        <f t="shared" si="7"/>
        <v>70</v>
      </c>
      <c r="AD64" s="220">
        <v>60</v>
      </c>
    </row>
    <row r="65" spans="1:30" ht="15" customHeight="1" x14ac:dyDescent="0.25">
      <c r="A65" s="4">
        <v>42</v>
      </c>
      <c r="B65" s="218">
        <f>'IAT-REPORT'!C65</f>
        <v>951323243045</v>
      </c>
      <c r="C65" s="227" t="str">
        <f>'IAT-REPORT'!D65</f>
        <v>PONKEERTHANA B</v>
      </c>
      <c r="D65" s="221"/>
      <c r="E65" s="4">
        <v>5</v>
      </c>
      <c r="F65" s="4">
        <v>2</v>
      </c>
      <c r="G65" s="4">
        <v>3</v>
      </c>
      <c r="H65" s="4">
        <f t="shared" si="0"/>
        <v>10</v>
      </c>
      <c r="I65" s="220">
        <f t="shared" si="1"/>
        <v>100</v>
      </c>
      <c r="J65" s="4">
        <v>5</v>
      </c>
      <c r="K65" s="4">
        <v>2</v>
      </c>
      <c r="L65" s="4">
        <v>3</v>
      </c>
      <c r="M65" s="4">
        <f t="shared" si="8"/>
        <v>10</v>
      </c>
      <c r="N65" s="220">
        <f t="shared" si="3"/>
        <v>100</v>
      </c>
      <c r="O65" s="4">
        <v>5</v>
      </c>
      <c r="P65" s="4">
        <v>2</v>
      </c>
      <c r="Q65" s="4">
        <v>3</v>
      </c>
      <c r="R65" s="4">
        <f t="shared" si="4"/>
        <v>10</v>
      </c>
      <c r="S65" s="220">
        <f t="shared" si="5"/>
        <v>100</v>
      </c>
      <c r="T65" s="4">
        <v>5</v>
      </c>
      <c r="U65" s="4">
        <v>2</v>
      </c>
      <c r="V65" s="4">
        <v>0</v>
      </c>
      <c r="W65" s="4">
        <f t="shared" si="9"/>
        <v>7</v>
      </c>
      <c r="X65" s="220">
        <f t="shared" si="6"/>
        <v>70</v>
      </c>
      <c r="Y65" s="4">
        <v>5</v>
      </c>
      <c r="Z65" s="4">
        <v>2</v>
      </c>
      <c r="AA65" s="4">
        <v>0</v>
      </c>
      <c r="AB65" s="4">
        <f t="shared" si="11"/>
        <v>7</v>
      </c>
      <c r="AC65" s="220">
        <f t="shared" si="7"/>
        <v>70</v>
      </c>
      <c r="AD65" s="220">
        <v>100</v>
      </c>
    </row>
    <row r="66" spans="1:30" ht="15" customHeight="1" x14ac:dyDescent="0.25">
      <c r="A66" s="4">
        <v>43</v>
      </c>
      <c r="B66" s="218">
        <f>'IAT-REPORT'!C66</f>
        <v>951323243046</v>
      </c>
      <c r="C66" s="227" t="str">
        <f>'IAT-REPORT'!D66</f>
        <v>POORANATRIFFIE P</v>
      </c>
      <c r="D66" s="221"/>
      <c r="E66" s="4">
        <v>5</v>
      </c>
      <c r="F66" s="4">
        <v>2</v>
      </c>
      <c r="G66" s="4">
        <v>3</v>
      </c>
      <c r="H66" s="4">
        <f>SUM(E66:G66)</f>
        <v>10</v>
      </c>
      <c r="I66" s="220">
        <f t="shared" si="1"/>
        <v>100</v>
      </c>
      <c r="J66" s="4">
        <v>5</v>
      </c>
      <c r="K66" s="4">
        <v>2</v>
      </c>
      <c r="L66" s="4">
        <v>3</v>
      </c>
      <c r="M66" s="4">
        <f t="shared" si="8"/>
        <v>10</v>
      </c>
      <c r="N66" s="220">
        <f t="shared" si="3"/>
        <v>100</v>
      </c>
      <c r="O66" s="4">
        <v>5</v>
      </c>
      <c r="P66" s="4">
        <v>2</v>
      </c>
      <c r="Q66" s="4">
        <v>3</v>
      </c>
      <c r="R66" s="4">
        <f t="shared" si="4"/>
        <v>10</v>
      </c>
      <c r="S66" s="220">
        <f t="shared" si="5"/>
        <v>100</v>
      </c>
      <c r="T66" s="4">
        <v>5</v>
      </c>
      <c r="U66" s="4">
        <v>2</v>
      </c>
      <c r="V66" s="4">
        <v>3</v>
      </c>
      <c r="W66" s="4">
        <f t="shared" si="9"/>
        <v>10</v>
      </c>
      <c r="X66" s="220">
        <f t="shared" si="6"/>
        <v>100</v>
      </c>
      <c r="Y66" s="4">
        <v>5</v>
      </c>
      <c r="Z66" s="4">
        <v>2</v>
      </c>
      <c r="AA66" s="4">
        <v>3</v>
      </c>
      <c r="AB66" s="4">
        <f t="shared" si="11"/>
        <v>10</v>
      </c>
      <c r="AC66" s="220">
        <f t="shared" si="7"/>
        <v>100</v>
      </c>
      <c r="AD66" s="220">
        <v>60</v>
      </c>
    </row>
    <row r="67" spans="1:30" ht="15" customHeight="1" x14ac:dyDescent="0.25">
      <c r="A67" s="4">
        <v>44</v>
      </c>
      <c r="B67" s="218">
        <f>'IAT-REPORT'!C67</f>
        <v>951323243047</v>
      </c>
      <c r="C67" s="227" t="str">
        <f>'IAT-REPORT'!D67</f>
        <v>RACKLAND T</v>
      </c>
      <c r="D67" s="221"/>
      <c r="E67" s="4">
        <v>5</v>
      </c>
      <c r="F67" s="4">
        <v>2</v>
      </c>
      <c r="G67" s="4">
        <v>3</v>
      </c>
      <c r="H67" s="4">
        <f>SUM(E67:G67)</f>
        <v>10</v>
      </c>
      <c r="I67" s="220">
        <f t="shared" si="1"/>
        <v>100</v>
      </c>
      <c r="J67" s="4">
        <v>5</v>
      </c>
      <c r="K67" s="4">
        <v>2</v>
      </c>
      <c r="L67" s="4">
        <v>3</v>
      </c>
      <c r="M67" s="4">
        <f t="shared" si="8"/>
        <v>10</v>
      </c>
      <c r="N67" s="220">
        <f t="shared" si="3"/>
        <v>100</v>
      </c>
      <c r="O67" s="4">
        <v>5</v>
      </c>
      <c r="P67" s="4">
        <v>2</v>
      </c>
      <c r="Q67" s="4">
        <v>3</v>
      </c>
      <c r="R67" s="4">
        <f t="shared" si="4"/>
        <v>10</v>
      </c>
      <c r="S67" s="220">
        <f t="shared" si="5"/>
        <v>100</v>
      </c>
      <c r="T67" s="4">
        <v>5</v>
      </c>
      <c r="U67" s="4">
        <v>2</v>
      </c>
      <c r="V67" s="4">
        <v>0</v>
      </c>
      <c r="W67" s="4">
        <f t="shared" si="9"/>
        <v>7</v>
      </c>
      <c r="X67" s="220">
        <f t="shared" si="6"/>
        <v>70</v>
      </c>
      <c r="Y67" s="4">
        <v>5</v>
      </c>
      <c r="Z67" s="4">
        <v>2</v>
      </c>
      <c r="AA67" s="4">
        <v>0</v>
      </c>
      <c r="AB67" s="4">
        <f t="shared" si="11"/>
        <v>7</v>
      </c>
      <c r="AC67" s="220">
        <f t="shared" si="7"/>
        <v>70</v>
      </c>
      <c r="AD67" s="220">
        <v>60</v>
      </c>
    </row>
    <row r="68" spans="1:30" ht="15" customHeight="1" x14ac:dyDescent="0.25">
      <c r="A68" s="4">
        <v>45</v>
      </c>
      <c r="B68" s="218">
        <f>'IAT-REPORT'!C68</f>
        <v>951323243048</v>
      </c>
      <c r="C68" s="227" t="str">
        <f>'IAT-REPORT'!D68</f>
        <v>RAJA SUNDAR K</v>
      </c>
      <c r="D68" s="221"/>
      <c r="E68" s="4">
        <v>5</v>
      </c>
      <c r="F68" s="4">
        <v>2</v>
      </c>
      <c r="G68" s="4">
        <v>3</v>
      </c>
      <c r="H68" s="4">
        <f t="shared" ref="H68:H80" si="12">SUM(E68:G68)</f>
        <v>10</v>
      </c>
      <c r="I68" s="220">
        <f t="shared" si="1"/>
        <v>100</v>
      </c>
      <c r="J68" s="4">
        <v>5</v>
      </c>
      <c r="K68" s="4">
        <v>2</v>
      </c>
      <c r="L68" s="4">
        <v>3</v>
      </c>
      <c r="M68" s="4">
        <f t="shared" si="8"/>
        <v>10</v>
      </c>
      <c r="N68" s="220">
        <f t="shared" si="3"/>
        <v>100</v>
      </c>
      <c r="O68" s="4">
        <v>5</v>
      </c>
      <c r="P68" s="4">
        <v>2</v>
      </c>
      <c r="Q68" s="4">
        <v>3</v>
      </c>
      <c r="R68" s="4">
        <f t="shared" ref="R68:R80" si="13">SUM(O68:Q68)</f>
        <v>10</v>
      </c>
      <c r="S68" s="220">
        <f t="shared" si="5"/>
        <v>100</v>
      </c>
      <c r="T68" s="4">
        <v>5</v>
      </c>
      <c r="U68" s="4">
        <v>2</v>
      </c>
      <c r="V68" s="4">
        <v>0</v>
      </c>
      <c r="W68" s="4">
        <f t="shared" si="9"/>
        <v>7</v>
      </c>
      <c r="X68" s="220">
        <f t="shared" si="6"/>
        <v>70</v>
      </c>
      <c r="Y68" s="4">
        <v>5</v>
      </c>
      <c r="Z68" s="4">
        <v>2</v>
      </c>
      <c r="AA68" s="4">
        <v>0</v>
      </c>
      <c r="AB68" s="4">
        <f t="shared" si="11"/>
        <v>7</v>
      </c>
      <c r="AC68" s="220">
        <f t="shared" si="7"/>
        <v>70</v>
      </c>
      <c r="AD68" s="220">
        <v>60</v>
      </c>
    </row>
    <row r="69" spans="1:30" ht="15" customHeight="1" x14ac:dyDescent="0.25">
      <c r="A69" s="4">
        <v>46</v>
      </c>
      <c r="B69" s="218">
        <f>'IAT-REPORT'!C69</f>
        <v>951323243049</v>
      </c>
      <c r="C69" s="227" t="str">
        <f>'IAT-REPORT'!D69</f>
        <v>RAMALINGAM B</v>
      </c>
      <c r="D69" s="221"/>
      <c r="E69" s="4">
        <v>5</v>
      </c>
      <c r="F69" s="4">
        <v>2</v>
      </c>
      <c r="G69" s="4">
        <v>3</v>
      </c>
      <c r="H69" s="4">
        <f t="shared" si="12"/>
        <v>10</v>
      </c>
      <c r="I69" s="220">
        <f t="shared" si="1"/>
        <v>100</v>
      </c>
      <c r="J69" s="4">
        <v>5</v>
      </c>
      <c r="K69" s="4">
        <v>2</v>
      </c>
      <c r="L69" s="4">
        <v>3</v>
      </c>
      <c r="M69" s="4">
        <f t="shared" si="8"/>
        <v>10</v>
      </c>
      <c r="N69" s="220">
        <f t="shared" si="3"/>
        <v>100</v>
      </c>
      <c r="O69" s="4">
        <v>5</v>
      </c>
      <c r="P69" s="4">
        <v>2</v>
      </c>
      <c r="Q69" s="4">
        <v>3</v>
      </c>
      <c r="R69" s="4">
        <f t="shared" si="13"/>
        <v>10</v>
      </c>
      <c r="S69" s="220">
        <f t="shared" si="5"/>
        <v>100</v>
      </c>
      <c r="T69" s="4">
        <v>5</v>
      </c>
      <c r="U69" s="4">
        <v>2</v>
      </c>
      <c r="V69" s="4">
        <v>0</v>
      </c>
      <c r="W69" s="4">
        <f>SUM(T69:V69)</f>
        <v>7</v>
      </c>
      <c r="X69" s="220">
        <f t="shared" si="6"/>
        <v>70</v>
      </c>
      <c r="Y69" s="4">
        <v>5</v>
      </c>
      <c r="Z69" s="4">
        <v>2</v>
      </c>
      <c r="AA69" s="4">
        <v>0</v>
      </c>
      <c r="AB69" s="4">
        <f>SUM(Y69:AA69)</f>
        <v>7</v>
      </c>
      <c r="AC69" s="220">
        <f t="shared" si="7"/>
        <v>70</v>
      </c>
      <c r="AD69" s="220">
        <v>50</v>
      </c>
    </row>
    <row r="70" spans="1:30" ht="15" customHeight="1" x14ac:dyDescent="0.25">
      <c r="A70" s="4">
        <v>47</v>
      </c>
      <c r="B70" s="218">
        <f>'IAT-REPORT'!C70</f>
        <v>951323243050</v>
      </c>
      <c r="C70" s="227" t="str">
        <f>'IAT-REPORT'!D70</f>
        <v>SELVAM GRACELIN S</v>
      </c>
      <c r="D70" s="221"/>
      <c r="E70" s="4">
        <v>5</v>
      </c>
      <c r="F70" s="4">
        <v>2</v>
      </c>
      <c r="G70" s="4">
        <v>3</v>
      </c>
      <c r="H70" s="4">
        <f t="shared" si="12"/>
        <v>10</v>
      </c>
      <c r="I70" s="220">
        <f t="shared" si="1"/>
        <v>100</v>
      </c>
      <c r="J70" s="4">
        <v>5</v>
      </c>
      <c r="K70" s="4">
        <v>2</v>
      </c>
      <c r="L70" s="4">
        <v>3</v>
      </c>
      <c r="M70" s="4">
        <f t="shared" si="8"/>
        <v>10</v>
      </c>
      <c r="N70" s="220">
        <f t="shared" si="3"/>
        <v>100</v>
      </c>
      <c r="O70" s="4">
        <v>5</v>
      </c>
      <c r="P70" s="4">
        <v>2</v>
      </c>
      <c r="Q70" s="4">
        <v>3</v>
      </c>
      <c r="R70" s="4">
        <f t="shared" si="13"/>
        <v>10</v>
      </c>
      <c r="S70" s="220">
        <f t="shared" si="5"/>
        <v>100</v>
      </c>
      <c r="T70" s="4">
        <v>5</v>
      </c>
      <c r="U70" s="4">
        <v>2</v>
      </c>
      <c r="V70" s="4">
        <v>3</v>
      </c>
      <c r="W70" s="4">
        <f t="shared" si="9"/>
        <v>10</v>
      </c>
      <c r="X70" s="220">
        <f t="shared" si="6"/>
        <v>100</v>
      </c>
      <c r="Y70" s="4">
        <v>5</v>
      </c>
      <c r="Z70" s="4">
        <v>2</v>
      </c>
      <c r="AA70" s="4">
        <v>3</v>
      </c>
      <c r="AB70" s="4">
        <f t="shared" ref="AB70:AB80" si="14">SUM(Y70:AA70)</f>
        <v>10</v>
      </c>
      <c r="AC70" s="220">
        <f t="shared" si="7"/>
        <v>100</v>
      </c>
      <c r="AD70" s="220">
        <v>60</v>
      </c>
    </row>
    <row r="71" spans="1:30" ht="15" customHeight="1" x14ac:dyDescent="0.25">
      <c r="A71" s="4">
        <v>48</v>
      </c>
      <c r="B71" s="218">
        <f>'IAT-REPORT'!C71</f>
        <v>951323243051</v>
      </c>
      <c r="C71" s="227" t="str">
        <f>'IAT-REPORT'!D71</f>
        <v>SHANKAR V</v>
      </c>
      <c r="D71" s="221"/>
      <c r="E71" s="4">
        <v>5</v>
      </c>
      <c r="F71" s="4">
        <v>2</v>
      </c>
      <c r="G71" s="4">
        <v>3</v>
      </c>
      <c r="H71" s="4">
        <f t="shared" si="12"/>
        <v>10</v>
      </c>
      <c r="I71" s="220">
        <f t="shared" si="1"/>
        <v>100</v>
      </c>
      <c r="J71" s="4">
        <v>5</v>
      </c>
      <c r="K71" s="4">
        <v>0</v>
      </c>
      <c r="L71" s="4">
        <v>0</v>
      </c>
      <c r="M71" s="4">
        <f t="shared" si="8"/>
        <v>5</v>
      </c>
      <c r="N71" s="220">
        <f t="shared" si="3"/>
        <v>50</v>
      </c>
      <c r="O71" s="4">
        <v>5</v>
      </c>
      <c r="P71" s="4">
        <v>2</v>
      </c>
      <c r="Q71" s="4">
        <v>3</v>
      </c>
      <c r="R71" s="4">
        <f t="shared" si="13"/>
        <v>10</v>
      </c>
      <c r="S71" s="220">
        <f t="shared" si="5"/>
        <v>100</v>
      </c>
      <c r="T71" s="4">
        <v>5</v>
      </c>
      <c r="U71" s="4">
        <v>2</v>
      </c>
      <c r="V71" s="4">
        <v>0</v>
      </c>
      <c r="W71" s="4">
        <f t="shared" si="9"/>
        <v>7</v>
      </c>
      <c r="X71" s="220">
        <f t="shared" si="6"/>
        <v>70</v>
      </c>
      <c r="Y71" s="4">
        <v>5</v>
      </c>
      <c r="Z71" s="4">
        <v>2</v>
      </c>
      <c r="AA71" s="4">
        <v>0</v>
      </c>
      <c r="AB71" s="4">
        <f t="shared" si="14"/>
        <v>7</v>
      </c>
      <c r="AC71" s="220">
        <f t="shared" si="7"/>
        <v>70</v>
      </c>
      <c r="AD71" s="220">
        <v>60</v>
      </c>
    </row>
    <row r="72" spans="1:30" ht="15" customHeight="1" x14ac:dyDescent="0.25">
      <c r="A72" s="4">
        <v>49</v>
      </c>
      <c r="B72" s="218">
        <f>'IAT-REPORT'!C72</f>
        <v>951323243052</v>
      </c>
      <c r="C72" s="227" t="str">
        <f>'IAT-REPORT'!D72</f>
        <v>SINDHUJA RAJASUMANA R</v>
      </c>
      <c r="D72" s="221"/>
      <c r="E72" s="4">
        <v>5</v>
      </c>
      <c r="F72" s="4">
        <v>2</v>
      </c>
      <c r="G72" s="4">
        <v>3</v>
      </c>
      <c r="H72" s="4">
        <f t="shared" si="12"/>
        <v>10</v>
      </c>
      <c r="I72" s="220">
        <f t="shared" si="1"/>
        <v>100</v>
      </c>
      <c r="J72" s="4">
        <v>5</v>
      </c>
      <c r="K72" s="4">
        <v>2</v>
      </c>
      <c r="L72" s="4">
        <v>3</v>
      </c>
      <c r="M72" s="4">
        <f t="shared" si="8"/>
        <v>10</v>
      </c>
      <c r="N72" s="220">
        <f t="shared" si="3"/>
        <v>100</v>
      </c>
      <c r="O72" s="4">
        <v>5</v>
      </c>
      <c r="P72" s="4">
        <v>2</v>
      </c>
      <c r="Q72" s="4">
        <v>3</v>
      </c>
      <c r="R72" s="4">
        <f t="shared" si="13"/>
        <v>10</v>
      </c>
      <c r="S72" s="220">
        <f t="shared" si="5"/>
        <v>100</v>
      </c>
      <c r="T72" s="4">
        <v>5</v>
      </c>
      <c r="U72" s="4">
        <v>2</v>
      </c>
      <c r="V72" s="4">
        <v>3</v>
      </c>
      <c r="W72" s="4">
        <f t="shared" si="9"/>
        <v>10</v>
      </c>
      <c r="X72" s="220">
        <f t="shared" si="6"/>
        <v>100</v>
      </c>
      <c r="Y72" s="4">
        <v>5</v>
      </c>
      <c r="Z72" s="4">
        <v>2</v>
      </c>
      <c r="AA72" s="4">
        <v>3</v>
      </c>
      <c r="AB72" s="4">
        <f t="shared" si="14"/>
        <v>10</v>
      </c>
      <c r="AC72" s="220">
        <f t="shared" si="7"/>
        <v>100</v>
      </c>
      <c r="AD72" s="220">
        <v>60</v>
      </c>
    </row>
    <row r="73" spans="1:30" ht="15" customHeight="1" x14ac:dyDescent="0.25">
      <c r="A73" s="4">
        <v>50</v>
      </c>
      <c r="B73" s="218">
        <f>'IAT-REPORT'!C73</f>
        <v>951323243053</v>
      </c>
      <c r="C73" s="227" t="str">
        <f>'IAT-REPORT'!D73</f>
        <v>SNEGA G</v>
      </c>
      <c r="D73" s="221"/>
      <c r="E73" s="4">
        <v>5</v>
      </c>
      <c r="F73" s="4">
        <v>2</v>
      </c>
      <c r="G73" s="4">
        <v>3</v>
      </c>
      <c r="H73" s="4">
        <f t="shared" si="12"/>
        <v>10</v>
      </c>
      <c r="I73" s="220">
        <f t="shared" si="1"/>
        <v>100</v>
      </c>
      <c r="J73" s="4">
        <v>5</v>
      </c>
      <c r="K73" s="4">
        <v>2</v>
      </c>
      <c r="L73" s="4">
        <v>3</v>
      </c>
      <c r="M73" s="4">
        <f t="shared" si="8"/>
        <v>10</v>
      </c>
      <c r="N73" s="220">
        <f t="shared" si="3"/>
        <v>100</v>
      </c>
      <c r="O73" s="4">
        <v>5</v>
      </c>
      <c r="P73" s="4">
        <v>2</v>
      </c>
      <c r="Q73" s="4">
        <v>3</v>
      </c>
      <c r="R73" s="4">
        <f t="shared" si="13"/>
        <v>10</v>
      </c>
      <c r="S73" s="220">
        <f t="shared" si="5"/>
        <v>100</v>
      </c>
      <c r="T73" s="4">
        <v>5</v>
      </c>
      <c r="U73" s="4">
        <v>2</v>
      </c>
      <c r="V73" s="4">
        <v>3</v>
      </c>
      <c r="W73" s="4">
        <f t="shared" si="9"/>
        <v>10</v>
      </c>
      <c r="X73" s="220">
        <f t="shared" si="6"/>
        <v>100</v>
      </c>
      <c r="Y73" s="4">
        <v>5</v>
      </c>
      <c r="Z73" s="4">
        <v>2</v>
      </c>
      <c r="AA73" s="4">
        <v>0</v>
      </c>
      <c r="AB73" s="4">
        <f t="shared" si="14"/>
        <v>7</v>
      </c>
      <c r="AC73" s="220">
        <f t="shared" si="7"/>
        <v>70</v>
      </c>
      <c r="AD73" s="220">
        <v>80</v>
      </c>
    </row>
    <row r="74" spans="1:30" ht="15" customHeight="1" x14ac:dyDescent="0.25">
      <c r="A74" s="4">
        <v>51</v>
      </c>
      <c r="B74" s="218">
        <f>'IAT-REPORT'!C74</f>
        <v>951323243054</v>
      </c>
      <c r="C74" s="227" t="str">
        <f>'IAT-REPORT'!D74</f>
        <v>SUBRAMANIAN V</v>
      </c>
      <c r="D74" s="221"/>
      <c r="E74" s="4">
        <v>5</v>
      </c>
      <c r="F74" s="4">
        <v>2</v>
      </c>
      <c r="G74" s="4">
        <v>3</v>
      </c>
      <c r="H74" s="4">
        <f t="shared" si="12"/>
        <v>10</v>
      </c>
      <c r="I74" s="220">
        <f t="shared" si="1"/>
        <v>100</v>
      </c>
      <c r="J74" s="4">
        <v>5</v>
      </c>
      <c r="K74" s="4">
        <v>2</v>
      </c>
      <c r="L74" s="4">
        <v>3</v>
      </c>
      <c r="M74" s="4">
        <f t="shared" si="8"/>
        <v>10</v>
      </c>
      <c r="N74" s="220">
        <f t="shared" si="3"/>
        <v>100</v>
      </c>
      <c r="O74" s="4">
        <v>5</v>
      </c>
      <c r="P74" s="4">
        <v>0</v>
      </c>
      <c r="Q74" s="4">
        <v>0</v>
      </c>
      <c r="R74" s="4">
        <f t="shared" si="13"/>
        <v>5</v>
      </c>
      <c r="S74" s="220">
        <f t="shared" si="5"/>
        <v>50</v>
      </c>
      <c r="T74" s="4">
        <v>5</v>
      </c>
      <c r="U74" s="4">
        <v>2</v>
      </c>
      <c r="V74" s="4">
        <v>0</v>
      </c>
      <c r="W74" s="4">
        <f t="shared" si="9"/>
        <v>7</v>
      </c>
      <c r="X74" s="220">
        <f t="shared" si="6"/>
        <v>70</v>
      </c>
      <c r="Y74" s="4">
        <v>5</v>
      </c>
      <c r="Z74" s="4">
        <v>2</v>
      </c>
      <c r="AA74" s="4">
        <v>0</v>
      </c>
      <c r="AB74" s="4">
        <f t="shared" si="14"/>
        <v>7</v>
      </c>
      <c r="AC74" s="220">
        <f t="shared" si="7"/>
        <v>70</v>
      </c>
      <c r="AD74" s="220">
        <v>50</v>
      </c>
    </row>
    <row r="75" spans="1:30" ht="15" customHeight="1" x14ac:dyDescent="0.25">
      <c r="A75" s="4">
        <v>52</v>
      </c>
      <c r="B75" s="218">
        <f>'IAT-REPORT'!C75</f>
        <v>951323243055</v>
      </c>
      <c r="C75" s="227" t="str">
        <f>'IAT-REPORT'!D75</f>
        <v>SUGAN RAJ H</v>
      </c>
      <c r="D75" s="221"/>
      <c r="E75" s="4">
        <v>5</v>
      </c>
      <c r="F75" s="4">
        <v>2</v>
      </c>
      <c r="G75" s="4">
        <v>3</v>
      </c>
      <c r="H75" s="4">
        <f t="shared" si="12"/>
        <v>10</v>
      </c>
      <c r="I75" s="220">
        <f t="shared" si="1"/>
        <v>100</v>
      </c>
      <c r="J75" s="4">
        <v>5</v>
      </c>
      <c r="K75" s="4">
        <v>2</v>
      </c>
      <c r="L75" s="4">
        <v>3</v>
      </c>
      <c r="M75" s="4">
        <f t="shared" si="8"/>
        <v>10</v>
      </c>
      <c r="N75" s="220">
        <f t="shared" si="3"/>
        <v>100</v>
      </c>
      <c r="O75" s="4">
        <v>5</v>
      </c>
      <c r="P75" s="4">
        <v>2</v>
      </c>
      <c r="Q75" s="4">
        <v>3</v>
      </c>
      <c r="R75" s="4">
        <f t="shared" si="13"/>
        <v>10</v>
      </c>
      <c r="S75" s="220">
        <f t="shared" si="5"/>
        <v>100</v>
      </c>
      <c r="T75" s="4">
        <v>5</v>
      </c>
      <c r="U75" s="4">
        <v>2</v>
      </c>
      <c r="V75" s="4">
        <v>0</v>
      </c>
      <c r="W75" s="4">
        <f t="shared" si="9"/>
        <v>7</v>
      </c>
      <c r="X75" s="220">
        <f t="shared" si="6"/>
        <v>70</v>
      </c>
      <c r="Y75" s="4">
        <v>5</v>
      </c>
      <c r="Z75" s="4">
        <v>2</v>
      </c>
      <c r="AA75" s="4">
        <v>0</v>
      </c>
      <c r="AB75" s="4">
        <f t="shared" si="14"/>
        <v>7</v>
      </c>
      <c r="AC75" s="220">
        <f t="shared" si="7"/>
        <v>70</v>
      </c>
      <c r="AD75" s="220">
        <v>60</v>
      </c>
    </row>
    <row r="76" spans="1:30" ht="15" customHeight="1" x14ac:dyDescent="0.25">
      <c r="A76" s="4">
        <v>53</v>
      </c>
      <c r="B76" s="218">
        <f>'IAT-REPORT'!C76</f>
        <v>951323243056</v>
      </c>
      <c r="C76" s="227" t="str">
        <f>'IAT-REPORT'!D76</f>
        <v>THOMAS KOILRAJ J</v>
      </c>
      <c r="D76" s="221"/>
      <c r="E76" s="4">
        <v>5</v>
      </c>
      <c r="F76" s="4">
        <v>2</v>
      </c>
      <c r="G76" s="4">
        <v>3</v>
      </c>
      <c r="H76" s="4">
        <f t="shared" si="12"/>
        <v>10</v>
      </c>
      <c r="I76" s="220">
        <f t="shared" si="1"/>
        <v>100</v>
      </c>
      <c r="J76" s="4">
        <v>5</v>
      </c>
      <c r="K76" s="4">
        <v>2</v>
      </c>
      <c r="L76" s="4">
        <v>3</v>
      </c>
      <c r="M76" s="4">
        <f t="shared" si="8"/>
        <v>10</v>
      </c>
      <c r="N76" s="220">
        <f t="shared" si="3"/>
        <v>100</v>
      </c>
      <c r="O76" s="4">
        <v>5</v>
      </c>
      <c r="P76" s="4">
        <v>2</v>
      </c>
      <c r="Q76" s="4">
        <v>3</v>
      </c>
      <c r="R76" s="4">
        <f t="shared" si="13"/>
        <v>10</v>
      </c>
      <c r="S76" s="220">
        <f t="shared" si="5"/>
        <v>100</v>
      </c>
      <c r="T76" s="4">
        <v>5</v>
      </c>
      <c r="U76" s="4">
        <v>2</v>
      </c>
      <c r="V76" s="4">
        <v>3</v>
      </c>
      <c r="W76" s="4">
        <f t="shared" si="9"/>
        <v>10</v>
      </c>
      <c r="X76" s="220">
        <f t="shared" si="6"/>
        <v>100</v>
      </c>
      <c r="Y76" s="4">
        <v>5</v>
      </c>
      <c r="Z76" s="4">
        <v>2</v>
      </c>
      <c r="AA76" s="4">
        <v>3</v>
      </c>
      <c r="AB76" s="4">
        <f t="shared" si="14"/>
        <v>10</v>
      </c>
      <c r="AC76" s="220">
        <f t="shared" si="7"/>
        <v>100</v>
      </c>
      <c r="AD76" s="220">
        <v>60</v>
      </c>
    </row>
    <row r="77" spans="1:30" ht="15" customHeight="1" x14ac:dyDescent="0.25">
      <c r="A77" s="4">
        <v>54</v>
      </c>
      <c r="B77" s="218">
        <f>'IAT-REPORT'!C77</f>
        <v>951323243057</v>
      </c>
      <c r="C77" s="227" t="str">
        <f>'IAT-REPORT'!D77</f>
        <v>VANITHA L</v>
      </c>
      <c r="D77" s="221"/>
      <c r="E77" s="4">
        <v>5</v>
      </c>
      <c r="F77" s="4">
        <v>2</v>
      </c>
      <c r="G77" s="4">
        <v>3</v>
      </c>
      <c r="H77" s="4">
        <f t="shared" si="12"/>
        <v>10</v>
      </c>
      <c r="I77" s="220">
        <f t="shared" si="1"/>
        <v>100</v>
      </c>
      <c r="J77" s="4">
        <v>5</v>
      </c>
      <c r="K77" s="4">
        <v>2</v>
      </c>
      <c r="L77" s="4">
        <v>3</v>
      </c>
      <c r="M77" s="4">
        <f t="shared" si="8"/>
        <v>10</v>
      </c>
      <c r="N77" s="220">
        <f t="shared" si="3"/>
        <v>100</v>
      </c>
      <c r="O77" s="4">
        <v>5</v>
      </c>
      <c r="P77" s="4">
        <v>2</v>
      </c>
      <c r="Q77" s="4">
        <v>3</v>
      </c>
      <c r="R77" s="4">
        <f t="shared" si="13"/>
        <v>10</v>
      </c>
      <c r="S77" s="220">
        <f t="shared" si="5"/>
        <v>100</v>
      </c>
      <c r="T77" s="4">
        <v>5</v>
      </c>
      <c r="U77" s="4">
        <v>2</v>
      </c>
      <c r="V77" s="4">
        <v>0</v>
      </c>
      <c r="W77" s="4">
        <f t="shared" si="9"/>
        <v>7</v>
      </c>
      <c r="X77" s="220">
        <f t="shared" si="6"/>
        <v>70</v>
      </c>
      <c r="Y77" s="4">
        <v>5</v>
      </c>
      <c r="Z77" s="4">
        <v>2</v>
      </c>
      <c r="AA77" s="4">
        <v>0</v>
      </c>
      <c r="AB77" s="4">
        <f t="shared" si="14"/>
        <v>7</v>
      </c>
      <c r="AC77" s="220">
        <f t="shared" si="7"/>
        <v>70</v>
      </c>
      <c r="AD77" s="220">
        <v>100</v>
      </c>
    </row>
    <row r="78" spans="1:30" ht="15" customHeight="1" x14ac:dyDescent="0.25">
      <c r="A78" s="4">
        <v>55</v>
      </c>
      <c r="B78" s="218">
        <f>'IAT-REPORT'!C78</f>
        <v>951323243058</v>
      </c>
      <c r="C78" s="227" t="str">
        <f>'IAT-REPORT'!D78</f>
        <v>VICTOR ROBINSON</v>
      </c>
      <c r="D78" s="221"/>
      <c r="E78" s="4">
        <v>5</v>
      </c>
      <c r="F78" s="4">
        <v>2</v>
      </c>
      <c r="G78" s="4">
        <v>0</v>
      </c>
      <c r="H78" s="4">
        <f t="shared" si="12"/>
        <v>7</v>
      </c>
      <c r="I78" s="220">
        <f t="shared" si="1"/>
        <v>70</v>
      </c>
      <c r="J78" s="4">
        <v>5</v>
      </c>
      <c r="K78" s="4">
        <v>2</v>
      </c>
      <c r="L78" s="4">
        <v>3</v>
      </c>
      <c r="M78" s="4">
        <f t="shared" si="8"/>
        <v>10</v>
      </c>
      <c r="N78" s="220">
        <f t="shared" si="3"/>
        <v>100</v>
      </c>
      <c r="O78" s="4">
        <v>5</v>
      </c>
      <c r="P78" s="4">
        <v>2</v>
      </c>
      <c r="Q78" s="4">
        <v>0</v>
      </c>
      <c r="R78" s="4">
        <f t="shared" si="13"/>
        <v>7</v>
      </c>
      <c r="S78" s="220">
        <f t="shared" si="5"/>
        <v>70</v>
      </c>
      <c r="T78" s="4">
        <v>5</v>
      </c>
      <c r="U78" s="4">
        <v>2</v>
      </c>
      <c r="V78" s="4">
        <v>3</v>
      </c>
      <c r="W78" s="4">
        <f t="shared" si="9"/>
        <v>10</v>
      </c>
      <c r="X78" s="220">
        <f t="shared" si="6"/>
        <v>100</v>
      </c>
      <c r="Y78" s="4">
        <v>5</v>
      </c>
      <c r="Z78" s="4">
        <v>2</v>
      </c>
      <c r="AA78" s="4">
        <v>0</v>
      </c>
      <c r="AB78" s="4">
        <f t="shared" si="14"/>
        <v>7</v>
      </c>
      <c r="AC78" s="220">
        <f t="shared" si="7"/>
        <v>70</v>
      </c>
      <c r="AD78" s="220">
        <v>60</v>
      </c>
    </row>
    <row r="79" spans="1:30" ht="15" customHeight="1" x14ac:dyDescent="0.25">
      <c r="A79" s="4">
        <v>56</v>
      </c>
      <c r="B79" s="218">
        <f>'IAT-REPORT'!C79</f>
        <v>951323243059</v>
      </c>
      <c r="C79" s="227" t="str">
        <f>'IAT-REPORT'!D79</f>
        <v>VIJAYAPRAKASH S</v>
      </c>
      <c r="D79" s="221"/>
      <c r="E79" s="4">
        <v>5</v>
      </c>
      <c r="F79" s="4">
        <v>2</v>
      </c>
      <c r="G79" s="4">
        <v>3</v>
      </c>
      <c r="H79" s="4">
        <f t="shared" si="12"/>
        <v>10</v>
      </c>
      <c r="I79" s="220">
        <f t="shared" si="1"/>
        <v>100</v>
      </c>
      <c r="J79" s="4">
        <v>5</v>
      </c>
      <c r="K79" s="4">
        <v>2</v>
      </c>
      <c r="L79" s="4">
        <v>0</v>
      </c>
      <c r="M79" s="4">
        <f t="shared" si="8"/>
        <v>7</v>
      </c>
      <c r="N79" s="220">
        <f t="shared" si="3"/>
        <v>70</v>
      </c>
      <c r="O79" s="4">
        <v>5</v>
      </c>
      <c r="P79" s="4">
        <v>0</v>
      </c>
      <c r="Q79" s="4">
        <v>0</v>
      </c>
      <c r="R79" s="4">
        <f t="shared" si="13"/>
        <v>5</v>
      </c>
      <c r="S79" s="220">
        <f t="shared" si="5"/>
        <v>50</v>
      </c>
      <c r="T79" s="4">
        <v>5</v>
      </c>
      <c r="U79" s="4">
        <v>2</v>
      </c>
      <c r="V79" s="4">
        <v>0</v>
      </c>
      <c r="W79" s="4">
        <f t="shared" si="9"/>
        <v>7</v>
      </c>
      <c r="X79" s="220">
        <f t="shared" si="6"/>
        <v>70</v>
      </c>
      <c r="Y79" s="4">
        <v>5</v>
      </c>
      <c r="Z79" s="4">
        <v>2</v>
      </c>
      <c r="AA79" s="4">
        <v>0</v>
      </c>
      <c r="AB79" s="4">
        <f t="shared" si="14"/>
        <v>7</v>
      </c>
      <c r="AC79" s="220">
        <f t="shared" si="7"/>
        <v>70</v>
      </c>
      <c r="AD79" s="220">
        <v>50</v>
      </c>
    </row>
    <row r="80" spans="1:30" ht="15" customHeight="1" x14ac:dyDescent="0.25">
      <c r="A80" s="4">
        <v>57</v>
      </c>
      <c r="B80" s="218">
        <f>'IAT-REPORT'!C80</f>
        <v>951323243060</v>
      </c>
      <c r="C80" s="227" t="str">
        <f>'IAT-REPORT'!D80</f>
        <v>VIJITHA BLESSY V</v>
      </c>
      <c r="D80" s="221"/>
      <c r="E80" s="4">
        <v>5</v>
      </c>
      <c r="F80" s="4">
        <v>2</v>
      </c>
      <c r="G80" s="4">
        <v>3</v>
      </c>
      <c r="H80" s="4">
        <f t="shared" si="12"/>
        <v>10</v>
      </c>
      <c r="I80" s="220">
        <f t="shared" si="1"/>
        <v>100</v>
      </c>
      <c r="J80" s="4">
        <v>5</v>
      </c>
      <c r="K80" s="4">
        <v>2</v>
      </c>
      <c r="L80" s="4">
        <v>3</v>
      </c>
      <c r="M80" s="4">
        <f t="shared" si="8"/>
        <v>10</v>
      </c>
      <c r="N80" s="220">
        <f t="shared" si="3"/>
        <v>100</v>
      </c>
      <c r="O80" s="4">
        <v>5</v>
      </c>
      <c r="P80" s="4">
        <v>2</v>
      </c>
      <c r="Q80" s="4">
        <v>3</v>
      </c>
      <c r="R80" s="4">
        <f t="shared" si="13"/>
        <v>10</v>
      </c>
      <c r="S80" s="220">
        <f t="shared" si="5"/>
        <v>100</v>
      </c>
      <c r="T80" s="4">
        <v>5</v>
      </c>
      <c r="U80" s="4">
        <v>2</v>
      </c>
      <c r="V80" s="4">
        <v>3</v>
      </c>
      <c r="W80" s="4">
        <f t="shared" si="9"/>
        <v>10</v>
      </c>
      <c r="X80" s="220">
        <f t="shared" si="6"/>
        <v>100</v>
      </c>
      <c r="Y80" s="4">
        <v>5</v>
      </c>
      <c r="Z80" s="4">
        <v>2</v>
      </c>
      <c r="AA80" s="4">
        <v>0</v>
      </c>
      <c r="AB80" s="4">
        <f t="shared" si="14"/>
        <v>7</v>
      </c>
      <c r="AC80" s="220">
        <f t="shared" si="7"/>
        <v>70</v>
      </c>
      <c r="AD80" s="220">
        <v>100</v>
      </c>
    </row>
    <row r="81" spans="1:30" ht="15" customHeight="1" x14ac:dyDescent="0.25">
      <c r="A81" s="456" t="str">
        <f>'[1]IAT REPORT'!A70</f>
        <v>No. of students attained more than 50% of marks in the relevant CO</v>
      </c>
      <c r="B81" s="457"/>
      <c r="C81" s="458"/>
      <c r="D81" s="222"/>
      <c r="E81" s="223"/>
      <c r="F81" s="223"/>
      <c r="G81" s="223"/>
      <c r="H81" s="223"/>
      <c r="I81" s="224">
        <f>COUNTIF(I24:I80,"&gt;=50")</f>
        <v>57</v>
      </c>
      <c r="J81" s="223"/>
      <c r="K81" s="223"/>
      <c r="L81" s="223"/>
      <c r="M81" s="223"/>
      <c r="N81" s="224">
        <f>COUNTIF(N24:N80,"&gt;=50")</f>
        <v>57</v>
      </c>
      <c r="O81" s="223"/>
      <c r="P81" s="223"/>
      <c r="Q81" s="223"/>
      <c r="R81" s="223"/>
      <c r="S81" s="224">
        <f>COUNTIF(S24:S80,"&gt;=50")</f>
        <v>57</v>
      </c>
      <c r="T81" s="223"/>
      <c r="U81" s="223"/>
      <c r="V81" s="223"/>
      <c r="W81" s="223"/>
      <c r="X81" s="224">
        <f>COUNTIF(X24:X80,"&gt;=50")</f>
        <v>57</v>
      </c>
      <c r="Y81" s="223"/>
      <c r="Z81" s="223"/>
      <c r="AA81" s="223"/>
      <c r="AB81" s="223"/>
      <c r="AC81" s="224">
        <f>COUNTIF(AC24:AC80,"&gt;=50")</f>
        <v>57</v>
      </c>
      <c r="AD81" s="224">
        <f>COUNTIF(AD24:AD80,"&gt;=50")</f>
        <v>57</v>
      </c>
    </row>
    <row r="82" spans="1:30" ht="15" customHeight="1" x14ac:dyDescent="0.25">
      <c r="A82" s="459" t="s">
        <v>313</v>
      </c>
      <c r="B82" s="459"/>
      <c r="C82" s="459"/>
      <c r="D82" s="225"/>
      <c r="E82" s="223"/>
      <c r="F82" s="223"/>
      <c r="G82" s="223"/>
      <c r="H82" s="223"/>
      <c r="I82" s="224">
        <f>ROUND(I81/$U$9*100,1)</f>
        <v>100</v>
      </c>
      <c r="J82" s="223"/>
      <c r="K82" s="223"/>
      <c r="L82" s="223"/>
      <c r="M82" s="223"/>
      <c r="N82" s="224">
        <f>ROUND(N81/$U$9*100,1)</f>
        <v>100</v>
      </c>
      <c r="O82" s="223"/>
      <c r="P82" s="223"/>
      <c r="Q82" s="223"/>
      <c r="R82" s="223"/>
      <c r="S82" s="224">
        <f>ROUND(S81/$U$9*100,1)</f>
        <v>100</v>
      </c>
      <c r="T82" s="223"/>
      <c r="U82" s="223"/>
      <c r="V82" s="223"/>
      <c r="W82" s="223"/>
      <c r="X82" s="224">
        <f>ROUND(X81/$U$9*100,1)</f>
        <v>100</v>
      </c>
      <c r="Y82" s="223"/>
      <c r="Z82" s="223"/>
      <c r="AA82" s="223"/>
      <c r="AB82" s="223"/>
      <c r="AC82" s="224">
        <f>ROUND(AC81/$U$9*100,1)</f>
        <v>100</v>
      </c>
      <c r="AD82" s="224">
        <f>ROUND(AD81/$U$9*100,1)</f>
        <v>100</v>
      </c>
    </row>
    <row r="83" spans="1:30" ht="15" customHeight="1" x14ac:dyDescent="0.25">
      <c r="A83" s="459" t="str">
        <f>'[1]IAT REPORT'!A72</f>
        <v>Correlation Level</v>
      </c>
      <c r="B83" s="459"/>
      <c r="C83" s="459"/>
      <c r="D83" s="225"/>
      <c r="E83" s="223"/>
      <c r="F83" s="223"/>
      <c r="G83" s="223"/>
      <c r="H83" s="223"/>
      <c r="I83" s="224">
        <f>IF(I82&gt;=80,3,IF(I82&gt;=70,2,IF(I82&gt;=60,1,0)))</f>
        <v>3</v>
      </c>
      <c r="J83" s="223"/>
      <c r="K83" s="223"/>
      <c r="L83" s="223"/>
      <c r="M83" s="223"/>
      <c r="N83" s="224">
        <f>IF(N82&gt;=80,3,IF(N82&gt;=70,2,IF(N82&gt;=60,1,0)))</f>
        <v>3</v>
      </c>
      <c r="O83" s="223"/>
      <c r="P83" s="223"/>
      <c r="Q83" s="223"/>
      <c r="R83" s="223"/>
      <c r="S83" s="224">
        <f>IF(S82&gt;=80,3,IF(S82&gt;=70,2,IF(S82&gt;=60,1,0)))</f>
        <v>3</v>
      </c>
      <c r="T83" s="223"/>
      <c r="U83" s="223"/>
      <c r="V83" s="223"/>
      <c r="W83" s="223"/>
      <c r="X83" s="224">
        <f>IF(X82&gt;=80,3,IF(X82&gt;=70,2,IF(X82&gt;=60,1,0)))</f>
        <v>3</v>
      </c>
      <c r="Y83" s="223"/>
      <c r="Z83" s="223"/>
      <c r="AA83" s="223"/>
      <c r="AB83" s="223"/>
      <c r="AC83" s="224">
        <f>IF(AC82&gt;=80,3,IF(AC82&gt;=70,2,IF(AC82&gt;=60,1,0)))</f>
        <v>3</v>
      </c>
      <c r="AD83" s="224">
        <f>IF(AD82&gt;=80,3,IF(AD82&gt;=70,2,IF(AD82&gt;=60,1,0)))</f>
        <v>3</v>
      </c>
    </row>
  </sheetData>
  <mergeCells count="34">
    <mergeCell ref="AD19:AD22"/>
    <mergeCell ref="A1:I1"/>
    <mergeCell ref="A2:I2"/>
    <mergeCell ref="A3:I3"/>
    <mergeCell ref="A4:I4"/>
    <mergeCell ref="A5:I5"/>
    <mergeCell ref="N9:T9"/>
    <mergeCell ref="F10:G10"/>
    <mergeCell ref="E11:F11"/>
    <mergeCell ref="G11:J11"/>
    <mergeCell ref="E12:F12"/>
    <mergeCell ref="G12:J12"/>
    <mergeCell ref="G9:H9"/>
    <mergeCell ref="E13:F13"/>
    <mergeCell ref="E14:F14"/>
    <mergeCell ref="J16:Q16"/>
    <mergeCell ref="L17:M17"/>
    <mergeCell ref="A19:A23"/>
    <mergeCell ref="B19:B23"/>
    <mergeCell ref="C19:C23"/>
    <mergeCell ref="A82:C82"/>
    <mergeCell ref="Y20:AC20"/>
    <mergeCell ref="Y21:AC21"/>
    <mergeCell ref="E19:AC19"/>
    <mergeCell ref="A81:C81"/>
    <mergeCell ref="A83:C83"/>
    <mergeCell ref="T20:X20"/>
    <mergeCell ref="T21:X21"/>
    <mergeCell ref="E20:I20"/>
    <mergeCell ref="J20:N20"/>
    <mergeCell ref="O20:S20"/>
    <mergeCell ref="E21:I21"/>
    <mergeCell ref="J21:N21"/>
    <mergeCell ref="O21:S21"/>
  </mergeCells>
  <pageMargins left="0.7" right="0.7" top="0.75" bottom="0.75" header="0.3" footer="0.3"/>
  <pageSetup paperSize="9" orientation="portrait"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82"/>
  <sheetViews>
    <sheetView tabSelected="1" zoomScale="60" zoomScaleNormal="60" workbookViewId="0">
      <selection activeCell="H80" sqref="H80"/>
    </sheetView>
  </sheetViews>
  <sheetFormatPr defaultRowHeight="15" x14ac:dyDescent="0.25"/>
  <cols>
    <col min="1" max="1" width="10.28515625" customWidth="1"/>
    <col min="3" max="3" width="19.7109375" customWidth="1"/>
    <col min="4" max="4" width="33.7109375" customWidth="1"/>
    <col min="6" max="6" width="16.28515625" customWidth="1"/>
    <col min="8" max="8" width="22.7109375" customWidth="1"/>
    <col min="9" max="9" width="13.5703125" customWidth="1"/>
    <col min="10" max="10" width="12" customWidth="1"/>
    <col min="11" max="11" width="13" customWidth="1"/>
    <col min="17" max="17" width="19" customWidth="1"/>
  </cols>
  <sheetData>
    <row r="1" spans="1:23" x14ac:dyDescent="0.25">
      <c r="B1" s="331" t="s">
        <v>0</v>
      </c>
      <c r="C1" s="331"/>
      <c r="D1" s="331"/>
      <c r="E1" s="331"/>
      <c r="F1" s="331"/>
      <c r="G1" s="331"/>
      <c r="H1" s="331"/>
      <c r="I1" s="331"/>
      <c r="J1" s="331"/>
      <c r="K1" s="331"/>
      <c r="L1" s="331"/>
      <c r="M1" s="331"/>
      <c r="N1" s="331"/>
      <c r="O1" s="331"/>
      <c r="P1" s="331"/>
      <c r="Q1" s="331"/>
      <c r="R1" s="331"/>
      <c r="S1" s="331"/>
      <c r="T1" s="331"/>
      <c r="U1" s="331"/>
      <c r="V1" s="331"/>
      <c r="W1" s="331"/>
    </row>
    <row r="2" spans="1:23" x14ac:dyDescent="0.25">
      <c r="B2" s="332" t="s">
        <v>1</v>
      </c>
      <c r="C2" s="332"/>
      <c r="D2" s="332"/>
      <c r="E2" s="332"/>
      <c r="F2" s="332"/>
      <c r="G2" s="332"/>
      <c r="H2" s="332"/>
      <c r="I2" s="332"/>
      <c r="J2" s="332"/>
      <c r="K2" s="332"/>
      <c r="L2" s="332"/>
      <c r="M2" s="332"/>
      <c r="N2" s="332"/>
      <c r="O2" s="332"/>
      <c r="P2" s="332"/>
      <c r="Q2" s="332"/>
      <c r="R2" s="332"/>
      <c r="S2" s="332"/>
      <c r="T2" s="332"/>
      <c r="U2" s="332"/>
      <c r="V2" s="332"/>
      <c r="W2" s="332"/>
    </row>
    <row r="3" spans="1:23" x14ac:dyDescent="0.25">
      <c r="B3" s="331" t="s">
        <v>2</v>
      </c>
      <c r="C3" s="331"/>
      <c r="D3" s="331"/>
      <c r="E3" s="331"/>
      <c r="F3" s="331"/>
      <c r="G3" s="331"/>
      <c r="H3" s="331"/>
      <c r="I3" s="331"/>
      <c r="J3" s="331"/>
      <c r="K3" s="331"/>
      <c r="L3" s="331"/>
      <c r="M3" s="331"/>
      <c r="N3" s="331"/>
      <c r="O3" s="331"/>
      <c r="P3" s="331"/>
      <c r="Q3" s="331"/>
      <c r="R3" s="331"/>
      <c r="S3" s="331"/>
      <c r="T3" s="331"/>
      <c r="U3" s="331"/>
      <c r="V3" s="331"/>
      <c r="W3" s="331"/>
    </row>
    <row r="4" spans="1:23" x14ac:dyDescent="0.25">
      <c r="B4" s="331" t="s">
        <v>3</v>
      </c>
      <c r="C4" s="331"/>
      <c r="D4" s="331"/>
      <c r="E4" s="331"/>
      <c r="F4" s="331"/>
      <c r="G4" s="331"/>
      <c r="H4" s="331"/>
      <c r="I4" s="331"/>
      <c r="J4" s="331"/>
      <c r="K4" s="331"/>
      <c r="L4" s="331"/>
      <c r="M4" s="331"/>
      <c r="N4" s="331"/>
      <c r="O4" s="331"/>
      <c r="P4" s="331"/>
      <c r="Q4" s="331"/>
      <c r="R4" s="331"/>
      <c r="S4" s="331"/>
      <c r="T4" s="331"/>
      <c r="U4" s="331"/>
      <c r="V4" s="331"/>
      <c r="W4" s="331"/>
    </row>
    <row r="5" spans="1:23" x14ac:dyDescent="0.25">
      <c r="B5" s="331" t="s">
        <v>5</v>
      </c>
      <c r="C5" s="331"/>
      <c r="D5" s="331"/>
      <c r="E5" s="331"/>
      <c r="F5" s="331"/>
      <c r="G5" s="331"/>
      <c r="H5" s="331"/>
      <c r="I5" s="331"/>
      <c r="J5" s="331"/>
      <c r="K5" s="331"/>
      <c r="L5" s="331"/>
      <c r="M5" s="331"/>
      <c r="N5" s="331"/>
      <c r="O5" s="331"/>
      <c r="P5" s="331"/>
      <c r="Q5" s="331"/>
      <c r="R5" s="331"/>
      <c r="S5" s="331"/>
      <c r="T5" s="331"/>
      <c r="U5" s="331"/>
      <c r="V5" s="331"/>
      <c r="W5" s="331"/>
    </row>
    <row r="6" spans="1:23" x14ac:dyDescent="0.25">
      <c r="B6" s="331" t="s">
        <v>155</v>
      </c>
      <c r="C6" s="331"/>
      <c r="D6" s="331"/>
      <c r="E6" s="331"/>
      <c r="F6" s="331"/>
      <c r="G6" s="331"/>
      <c r="H6" s="331"/>
      <c r="I6" s="331"/>
      <c r="J6" s="331"/>
      <c r="K6" s="331"/>
      <c r="L6" s="331"/>
      <c r="M6" s="331"/>
      <c r="N6" s="331"/>
    </row>
    <row r="7" spans="1:23" x14ac:dyDescent="0.25">
      <c r="B7" s="1"/>
      <c r="C7" s="1"/>
      <c r="D7" s="1"/>
      <c r="E7" s="1"/>
      <c r="F7" s="1"/>
      <c r="G7" s="1"/>
      <c r="H7" s="1"/>
      <c r="I7" s="1"/>
      <c r="J7" s="1"/>
      <c r="K7" s="1"/>
      <c r="L7" s="1"/>
      <c r="M7" s="1"/>
      <c r="N7" s="1"/>
    </row>
    <row r="8" spans="1:23" ht="15.75" x14ac:dyDescent="0.25">
      <c r="A8" s="10" t="str">
        <f>'BL-1'!A8:H8</f>
        <v>COURSE CODE / NAME: CW3551 DATA AND INFORMATION SECURITY</v>
      </c>
      <c r="B8" s="11"/>
      <c r="C8" s="11"/>
      <c r="D8" s="11"/>
      <c r="E8" s="11"/>
      <c r="F8" s="11"/>
      <c r="G8" s="11" t="str">
        <f>'BL-1'!I9</f>
        <v>CLASS  : III ADS</v>
      </c>
      <c r="H8" s="11"/>
      <c r="J8" s="11"/>
      <c r="K8" s="11" t="str">
        <f>'BL-1'!I8</f>
        <v>BATCH: 2023-2027</v>
      </c>
      <c r="L8" s="11"/>
      <c r="O8" s="11" t="str">
        <f>'BL-1'!M8</f>
        <v>SEM:05</v>
      </c>
      <c r="T8" s="22"/>
      <c r="U8" s="22"/>
    </row>
    <row r="9" spans="1:23" ht="15.75" x14ac:dyDescent="0.25">
      <c r="A9" s="10" t="str">
        <f>'BL-1'!A9:H9</f>
        <v>COURSE INSTRUCTOR/DESIGNATION: G. ALISHA EVANGELINE,AP/ADS</v>
      </c>
      <c r="B9" s="11"/>
      <c r="C9" s="11"/>
      <c r="D9" s="11"/>
      <c r="F9" s="10"/>
      <c r="G9" s="10"/>
      <c r="J9" s="11"/>
      <c r="K9" s="11"/>
      <c r="L9" s="11"/>
      <c r="M9" s="92"/>
      <c r="N9" s="408" t="s">
        <v>144</v>
      </c>
      <c r="O9" s="408"/>
      <c r="P9" s="408"/>
      <c r="Q9" s="408"/>
      <c r="R9" s="408"/>
      <c r="S9" s="88">
        <f>'IAT-1'!Z9</f>
        <v>57</v>
      </c>
      <c r="T9" s="22"/>
      <c r="U9" s="22"/>
    </row>
    <row r="10" spans="1:23" x14ac:dyDescent="0.25">
      <c r="A10" s="9" t="s">
        <v>160</v>
      </c>
      <c r="B10" s="8"/>
      <c r="C10" s="8"/>
      <c r="D10" s="8"/>
      <c r="E10" s="8"/>
      <c r="F10" s="8"/>
      <c r="G10" s="8"/>
      <c r="H10" s="8"/>
      <c r="I10" s="8"/>
    </row>
    <row r="11" spans="1:23" ht="15.75" x14ac:dyDescent="0.25">
      <c r="A11" s="12"/>
      <c r="B11" s="1"/>
      <c r="C11" s="1"/>
      <c r="D11" s="1"/>
      <c r="E11" s="1"/>
      <c r="F11" s="1"/>
      <c r="G11" s="1"/>
      <c r="J11" s="14"/>
      <c r="K11" s="15"/>
      <c r="L11" s="15"/>
      <c r="M11" s="15" t="s">
        <v>10</v>
      </c>
      <c r="N11" s="15"/>
      <c r="O11" s="15"/>
      <c r="P11" s="15"/>
      <c r="Q11" s="17"/>
      <c r="R11" s="476" t="s">
        <v>11</v>
      </c>
      <c r="S11" s="476"/>
      <c r="T11" s="476"/>
      <c r="U11" s="24"/>
    </row>
    <row r="12" spans="1:23" ht="15.75" x14ac:dyDescent="0.25">
      <c r="A12" s="12" t="str">
        <f>'BL-1'!A12</f>
        <v>CO 1</v>
      </c>
      <c r="B12" s="116" t="str">
        <f>'BL-1'!B12</f>
        <v>Understand the basics of data and information security</v>
      </c>
      <c r="C12" s="1"/>
      <c r="D12" s="1"/>
      <c r="E12" s="1"/>
      <c r="F12" s="1"/>
      <c r="G12" s="1"/>
      <c r="H12" s="1"/>
      <c r="J12" s="26">
        <v>1</v>
      </c>
      <c r="K12" s="16" t="s">
        <v>12</v>
      </c>
      <c r="L12" s="16"/>
      <c r="M12" s="16"/>
      <c r="N12" s="16"/>
      <c r="O12" s="16"/>
      <c r="P12" s="16"/>
      <c r="Q12" s="16"/>
      <c r="R12" s="477" t="s">
        <v>13</v>
      </c>
      <c r="S12" s="477"/>
      <c r="T12" s="477"/>
      <c r="U12" s="23"/>
    </row>
    <row r="13" spans="1:23" ht="15.75" x14ac:dyDescent="0.25">
      <c r="A13" s="12" t="str">
        <f>'BL-1'!A13</f>
        <v>CO 2</v>
      </c>
      <c r="B13" s="116" t="str">
        <f>'BL-1'!B13</f>
        <v>Understand the legal, ethical and professional issues in information security</v>
      </c>
      <c r="C13" s="1"/>
      <c r="D13" s="1"/>
      <c r="H13" s="1"/>
      <c r="J13" s="26">
        <v>2</v>
      </c>
      <c r="K13" s="16" t="s">
        <v>14</v>
      </c>
      <c r="L13" s="16"/>
      <c r="M13" s="16"/>
      <c r="N13" s="16"/>
      <c r="O13" s="16"/>
      <c r="P13" s="16"/>
      <c r="Q13" s="16"/>
      <c r="R13" s="477" t="s">
        <v>15</v>
      </c>
      <c r="S13" s="477"/>
      <c r="T13" s="477"/>
      <c r="U13" s="23"/>
    </row>
    <row r="14" spans="1:23" ht="15.75" x14ac:dyDescent="0.25">
      <c r="A14" s="12" t="str">
        <f>'BL-1'!A14</f>
        <v>CO 3</v>
      </c>
      <c r="B14" s="116" t="str">
        <f>'BL-1'!B14</f>
        <v>Understand the various authentication schemes to simulate different applications</v>
      </c>
      <c r="C14" s="1"/>
      <c r="D14" s="1"/>
      <c r="E14" s="1"/>
      <c r="F14" s="1"/>
      <c r="G14" s="1"/>
      <c r="H14" s="1"/>
      <c r="J14" s="26">
        <v>3</v>
      </c>
      <c r="K14" s="16" t="s">
        <v>16</v>
      </c>
      <c r="L14" s="16"/>
      <c r="M14" s="16"/>
      <c r="N14" s="16"/>
      <c r="O14" s="16"/>
      <c r="P14" s="16"/>
      <c r="Q14" s="16"/>
      <c r="R14" s="477" t="s">
        <v>17</v>
      </c>
      <c r="S14" s="477"/>
      <c r="T14" s="477"/>
      <c r="U14" s="23"/>
    </row>
    <row r="15" spans="1:23" ht="15.75" x14ac:dyDescent="0.25">
      <c r="A15" s="12" t="str">
        <f>'BL-1'!A15</f>
        <v>CO 4</v>
      </c>
      <c r="B15" s="116" t="str">
        <f>'BL-1'!B15</f>
        <v>Understand various security practices and system security standards</v>
      </c>
      <c r="C15" s="1"/>
      <c r="D15" s="1"/>
      <c r="H15" s="1"/>
      <c r="R15" s="20"/>
      <c r="S15" s="20"/>
      <c r="T15" s="21"/>
      <c r="U15" s="21"/>
    </row>
    <row r="16" spans="1:23" ht="15.75" x14ac:dyDescent="0.25">
      <c r="A16" s="12" t="str">
        <f>'BL-1'!A16</f>
        <v>CO 5</v>
      </c>
      <c r="B16" s="116" t="str">
        <f>'BL-1'!B16</f>
        <v>Understand the web security protocols for E-commerce applications</v>
      </c>
      <c r="H16" s="1"/>
      <c r="J16" s="478" t="s">
        <v>20</v>
      </c>
      <c r="K16" s="478"/>
      <c r="L16" s="478"/>
      <c r="M16" s="478"/>
      <c r="N16" s="478"/>
      <c r="O16" s="478"/>
      <c r="P16" s="478"/>
      <c r="Q16" s="478"/>
    </row>
    <row r="17" spans="2:17" x14ac:dyDescent="0.25">
      <c r="J17" s="106" t="s">
        <v>21</v>
      </c>
      <c r="K17" s="106" t="s">
        <v>24</v>
      </c>
      <c r="L17" s="106"/>
      <c r="M17" s="106" t="s">
        <v>26</v>
      </c>
      <c r="N17" s="106" t="s">
        <v>22</v>
      </c>
      <c r="O17" s="106" t="s">
        <v>25</v>
      </c>
      <c r="P17" s="106" t="s">
        <v>23</v>
      </c>
      <c r="Q17" s="18"/>
    </row>
    <row r="19" spans="2:17" ht="15" customHeight="1" x14ac:dyDescent="0.25">
      <c r="B19" s="393" t="s">
        <v>6</v>
      </c>
      <c r="C19" s="393" t="s">
        <v>7</v>
      </c>
      <c r="D19" s="448" t="s">
        <v>8</v>
      </c>
      <c r="E19" s="107" t="s">
        <v>156</v>
      </c>
      <c r="F19" s="474" t="s">
        <v>159</v>
      </c>
    </row>
    <row r="20" spans="2:17" ht="15.75" customHeight="1" x14ac:dyDescent="0.25">
      <c r="B20" s="394"/>
      <c r="C20" s="394"/>
      <c r="D20" s="449"/>
      <c r="E20" s="55" t="s">
        <v>108</v>
      </c>
      <c r="F20" s="475"/>
    </row>
    <row r="21" spans="2:17" ht="15.75" x14ac:dyDescent="0.25">
      <c r="B21" s="2">
        <v>1</v>
      </c>
      <c r="C21" s="112">
        <f>'IAT-1'!C26</f>
        <v>951323243001</v>
      </c>
      <c r="D21" s="113" t="str">
        <f>'IAT-1'!D26</f>
        <v>ABINAYA S</v>
      </c>
      <c r="E21" s="4" t="s">
        <v>165</v>
      </c>
      <c r="F21" s="111">
        <f t="shared" ref="F21:F52" si="0">VLOOKUP(E21,$J$36:$K$45,2,FALSE)*10</f>
        <v>0</v>
      </c>
    </row>
    <row r="22" spans="2:17" ht="15.75" x14ac:dyDescent="0.25">
      <c r="B22" s="2">
        <v>2</v>
      </c>
      <c r="C22" s="112">
        <f>'IAT-1'!C27</f>
        <v>951323243002</v>
      </c>
      <c r="D22" s="113" t="str">
        <f>'IAT-1'!D27</f>
        <v>ABISHEK S</v>
      </c>
      <c r="E22" s="4" t="s">
        <v>44</v>
      </c>
      <c r="F22" s="111">
        <f t="shared" si="0"/>
        <v>70</v>
      </c>
    </row>
    <row r="23" spans="2:17" ht="15.75" x14ac:dyDescent="0.25">
      <c r="B23" s="2">
        <v>3</v>
      </c>
      <c r="C23" s="112">
        <f>'IAT-1'!C28</f>
        <v>951323243003</v>
      </c>
      <c r="D23" s="113" t="str">
        <f>'IAT-1'!D28</f>
        <v>AJEETHA S</v>
      </c>
      <c r="E23" s="4" t="s">
        <v>42</v>
      </c>
      <c r="F23" s="111">
        <f t="shared" si="0"/>
        <v>80</v>
      </c>
    </row>
    <row r="24" spans="2:17" ht="15.75" x14ac:dyDescent="0.25">
      <c r="B24" s="2">
        <v>4</v>
      </c>
      <c r="C24" s="112">
        <f>'IAT-1'!C29</f>
        <v>951323243004</v>
      </c>
      <c r="D24" s="113" t="str">
        <f>'IAT-1'!D29</f>
        <v>AJIM FAYAZ K M S</v>
      </c>
      <c r="E24" s="4" t="s">
        <v>165</v>
      </c>
      <c r="F24" s="111">
        <f t="shared" si="0"/>
        <v>0</v>
      </c>
    </row>
    <row r="25" spans="2:17" ht="15.75" x14ac:dyDescent="0.25">
      <c r="B25" s="2">
        <v>5</v>
      </c>
      <c r="C25" s="112">
        <f>'IAT-1'!C30</f>
        <v>951323243005</v>
      </c>
      <c r="D25" s="113" t="str">
        <f>'IAT-1'!D30</f>
        <v>ALPHONES CRUZ NAVEEN J</v>
      </c>
      <c r="E25" s="4" t="s">
        <v>44</v>
      </c>
      <c r="F25" s="111">
        <f t="shared" si="0"/>
        <v>70</v>
      </c>
    </row>
    <row r="26" spans="2:17" ht="15.75" x14ac:dyDescent="0.25">
      <c r="B26" s="2">
        <v>6</v>
      </c>
      <c r="C26" s="112">
        <f>'IAT-1'!C31</f>
        <v>951323243006</v>
      </c>
      <c r="D26" s="113" t="str">
        <f>'IAT-1'!D31</f>
        <v>ANGEL AGNES D</v>
      </c>
      <c r="E26" s="4" t="s">
        <v>45</v>
      </c>
      <c r="F26" s="111">
        <f t="shared" si="0"/>
        <v>90</v>
      </c>
    </row>
    <row r="27" spans="2:17" ht="15.75" x14ac:dyDescent="0.25">
      <c r="B27" s="2">
        <v>7</v>
      </c>
      <c r="C27" s="112">
        <f>'IAT-1'!C32</f>
        <v>951323243007</v>
      </c>
      <c r="D27" s="113" t="str">
        <f>'IAT-1'!D32</f>
        <v>ANUSHA P</v>
      </c>
      <c r="E27" s="4" t="s">
        <v>45</v>
      </c>
      <c r="F27" s="111">
        <f t="shared" si="0"/>
        <v>90</v>
      </c>
    </row>
    <row r="28" spans="2:17" ht="15.75" x14ac:dyDescent="0.25">
      <c r="B28" s="2">
        <v>8</v>
      </c>
      <c r="C28" s="112">
        <f>'IAT-1'!C33</f>
        <v>951323243008</v>
      </c>
      <c r="D28" s="113" t="str">
        <f>'IAT-1'!D33</f>
        <v>ARIBA M</v>
      </c>
      <c r="E28" s="4" t="s">
        <v>42</v>
      </c>
      <c r="F28" s="111">
        <f t="shared" si="0"/>
        <v>80</v>
      </c>
    </row>
    <row r="29" spans="2:17" ht="15.75" x14ac:dyDescent="0.25">
      <c r="B29" s="2">
        <v>9</v>
      </c>
      <c r="C29" s="112">
        <f>'IAT-1'!C34</f>
        <v>951323243009</v>
      </c>
      <c r="D29" s="113" t="str">
        <f>'IAT-1'!D34</f>
        <v>BALADHARSHINI S</v>
      </c>
      <c r="E29" s="4" t="s">
        <v>45</v>
      </c>
      <c r="F29" s="111">
        <f t="shared" si="0"/>
        <v>90</v>
      </c>
    </row>
    <row r="30" spans="2:17" ht="15.75" x14ac:dyDescent="0.25">
      <c r="B30" s="2">
        <v>10</v>
      </c>
      <c r="C30" s="112">
        <f>'IAT-1'!C35</f>
        <v>951323243010</v>
      </c>
      <c r="D30" s="113" t="str">
        <f>'IAT-1'!D35</f>
        <v>BALASANKAR AYYAPPAN M</v>
      </c>
      <c r="E30" s="4" t="s">
        <v>42</v>
      </c>
      <c r="F30" s="111">
        <f t="shared" si="0"/>
        <v>80</v>
      </c>
    </row>
    <row r="31" spans="2:17" ht="15.75" x14ac:dyDescent="0.25">
      <c r="B31" s="2">
        <v>11</v>
      </c>
      <c r="C31" s="112">
        <f>'IAT-1'!C36</f>
        <v>951323243011</v>
      </c>
      <c r="D31" s="113" t="str">
        <f>'IAT-1'!D36</f>
        <v>BALA SRI RAM G</v>
      </c>
      <c r="E31" s="4" t="s">
        <v>165</v>
      </c>
      <c r="F31" s="111">
        <f t="shared" si="0"/>
        <v>0</v>
      </c>
    </row>
    <row r="32" spans="2:17" ht="15.75" x14ac:dyDescent="0.25">
      <c r="B32" s="2">
        <v>12</v>
      </c>
      <c r="C32" s="112">
        <f>'IAT-1'!C37</f>
        <v>951323243012</v>
      </c>
      <c r="D32" s="113" t="str">
        <f>'IAT-1'!D37</f>
        <v>BENJAMINE FRANKLIN C</v>
      </c>
      <c r="E32" s="4" t="s">
        <v>44</v>
      </c>
      <c r="F32" s="111">
        <f t="shared" si="0"/>
        <v>70</v>
      </c>
    </row>
    <row r="33" spans="2:21" ht="15.75" x14ac:dyDescent="0.25">
      <c r="B33" s="2">
        <v>13</v>
      </c>
      <c r="C33" s="112">
        <f>'IAT-1'!C38</f>
        <v>951323243013</v>
      </c>
      <c r="D33" s="113" t="str">
        <f>'IAT-1'!D38</f>
        <v>CATHRINE R</v>
      </c>
      <c r="E33" s="4" t="s">
        <v>42</v>
      </c>
      <c r="F33" s="111">
        <f t="shared" si="0"/>
        <v>80</v>
      </c>
      <c r="G33" s="5"/>
      <c r="H33" s="5"/>
      <c r="I33" s="5"/>
      <c r="J33" s="5"/>
      <c r="K33" s="5"/>
      <c r="L33" s="5"/>
      <c r="M33" s="5"/>
      <c r="N33" s="5"/>
      <c r="O33" s="5"/>
      <c r="P33" s="5"/>
      <c r="Q33" s="5"/>
      <c r="R33" s="5"/>
      <c r="S33" s="5"/>
      <c r="T33" s="5"/>
      <c r="U33" s="5"/>
    </row>
    <row r="34" spans="2:21" ht="15.75" x14ac:dyDescent="0.25">
      <c r="B34" s="2">
        <v>14</v>
      </c>
      <c r="C34" s="112">
        <f>'IAT-1'!C39</f>
        <v>951323243014</v>
      </c>
      <c r="D34" s="113" t="str">
        <f>'IAT-1'!D39</f>
        <v>CHENGALESWARI K</v>
      </c>
      <c r="E34" s="4" t="s">
        <v>44</v>
      </c>
      <c r="F34" s="111">
        <f t="shared" si="0"/>
        <v>70</v>
      </c>
      <c r="G34" s="5"/>
      <c r="H34" s="5"/>
      <c r="I34" s="5"/>
      <c r="J34" s="5"/>
      <c r="K34" s="5"/>
      <c r="L34" s="5"/>
      <c r="M34" s="5"/>
      <c r="N34" s="5"/>
      <c r="O34" s="5"/>
      <c r="P34" s="5"/>
      <c r="Q34" s="5"/>
      <c r="R34" s="5"/>
      <c r="S34" s="5"/>
      <c r="T34" s="5"/>
      <c r="U34" s="5"/>
    </row>
    <row r="35" spans="2:21" ht="15.75" x14ac:dyDescent="0.25">
      <c r="B35" s="2">
        <v>15</v>
      </c>
      <c r="C35" s="112">
        <f>'IAT-1'!C40</f>
        <v>951323243015</v>
      </c>
      <c r="D35" s="113" t="str">
        <f>'IAT-1'!D40</f>
        <v>DEVI L</v>
      </c>
      <c r="E35" s="4" t="s">
        <v>45</v>
      </c>
      <c r="F35" s="111">
        <f t="shared" si="0"/>
        <v>90</v>
      </c>
      <c r="G35" s="5"/>
      <c r="H35" s="5"/>
      <c r="I35" s="5"/>
      <c r="J35" s="5"/>
      <c r="K35" s="5"/>
      <c r="L35" s="5"/>
      <c r="M35" s="5"/>
      <c r="N35" s="5"/>
      <c r="O35" s="5"/>
      <c r="P35" s="5"/>
      <c r="Q35" s="5"/>
      <c r="R35" s="5"/>
      <c r="S35" s="5"/>
      <c r="T35" s="5"/>
      <c r="U35" s="5"/>
    </row>
    <row r="36" spans="2:21" ht="15.75" x14ac:dyDescent="0.25">
      <c r="B36" s="2">
        <v>16</v>
      </c>
      <c r="C36" s="112">
        <f>'IAT-1'!C41</f>
        <v>951323243016</v>
      </c>
      <c r="D36" s="113" t="str">
        <f>'IAT-1'!D41</f>
        <v>DHARUN S</v>
      </c>
      <c r="E36" s="4" t="s">
        <v>42</v>
      </c>
      <c r="F36" s="111">
        <f t="shared" si="0"/>
        <v>80</v>
      </c>
      <c r="G36" s="5"/>
      <c r="H36" s="5"/>
      <c r="I36" s="5"/>
      <c r="J36" s="57" t="s">
        <v>165</v>
      </c>
      <c r="K36" s="57">
        <v>0</v>
      </c>
      <c r="L36" s="5"/>
      <c r="M36" s="5"/>
      <c r="N36" s="5"/>
      <c r="O36" s="5"/>
      <c r="P36" s="5"/>
      <c r="Q36" s="5"/>
      <c r="R36" s="5"/>
      <c r="S36" s="5"/>
      <c r="T36" s="5"/>
      <c r="U36" s="5"/>
    </row>
    <row r="37" spans="2:21" ht="15.75" x14ac:dyDescent="0.25">
      <c r="B37" s="2">
        <v>17</v>
      </c>
      <c r="C37" s="112">
        <f>'IAT-1'!C42</f>
        <v>951323243017</v>
      </c>
      <c r="D37" s="113" t="str">
        <f>'IAT-1'!D42</f>
        <v>EAKANTHALINGAM R</v>
      </c>
      <c r="E37" s="4" t="s">
        <v>44</v>
      </c>
      <c r="F37" s="111">
        <f t="shared" si="0"/>
        <v>70</v>
      </c>
      <c r="G37" s="5"/>
      <c r="H37" s="5"/>
      <c r="I37" s="5"/>
      <c r="J37" s="57" t="s">
        <v>46</v>
      </c>
      <c r="K37" s="57">
        <v>0</v>
      </c>
      <c r="L37" s="5"/>
      <c r="M37" s="5"/>
      <c r="N37" s="5"/>
      <c r="O37" s="5"/>
      <c r="P37" s="5"/>
      <c r="Q37" s="5"/>
      <c r="R37" s="5"/>
      <c r="S37" s="5"/>
      <c r="T37" s="5"/>
      <c r="U37" s="5"/>
    </row>
    <row r="38" spans="2:21" ht="15.75" x14ac:dyDescent="0.25">
      <c r="B38" s="2">
        <v>18</v>
      </c>
      <c r="C38" s="112">
        <f>'IAT-1'!C43</f>
        <v>951323243018</v>
      </c>
      <c r="D38" s="113" t="str">
        <f>'IAT-1'!D43</f>
        <v>EFRIN THANASEKARAN J</v>
      </c>
      <c r="E38" s="4" t="s">
        <v>44</v>
      </c>
      <c r="F38" s="111">
        <f t="shared" si="0"/>
        <v>70</v>
      </c>
      <c r="G38" s="5"/>
      <c r="H38" s="5"/>
      <c r="I38" s="5"/>
      <c r="J38" s="57" t="s">
        <v>98</v>
      </c>
      <c r="K38" s="57">
        <v>0</v>
      </c>
      <c r="L38" s="5"/>
      <c r="M38" s="5"/>
      <c r="N38" s="5"/>
      <c r="O38" s="5"/>
      <c r="P38" s="5"/>
      <c r="Q38" s="5"/>
      <c r="R38" s="5"/>
      <c r="S38" s="5"/>
      <c r="T38" s="5"/>
      <c r="U38" s="5"/>
    </row>
    <row r="39" spans="2:21" ht="15.75" x14ac:dyDescent="0.25">
      <c r="B39" s="2">
        <v>19</v>
      </c>
      <c r="C39" s="112">
        <f>'IAT-1'!C44</f>
        <v>951323243019</v>
      </c>
      <c r="D39" s="113" t="str">
        <f>'IAT-1'!D44</f>
        <v>GAYATHRI M</v>
      </c>
      <c r="E39" s="4" t="s">
        <v>42</v>
      </c>
      <c r="F39" s="111">
        <f t="shared" si="0"/>
        <v>80</v>
      </c>
      <c r="G39" s="5"/>
      <c r="H39" s="5"/>
      <c r="I39" s="5"/>
      <c r="J39" s="57" t="s">
        <v>298</v>
      </c>
      <c r="K39" s="57">
        <v>5</v>
      </c>
      <c r="L39" s="5"/>
      <c r="M39" s="5"/>
      <c r="N39" s="5"/>
      <c r="O39" s="5"/>
      <c r="P39" s="5"/>
      <c r="Q39" s="5"/>
      <c r="R39" s="5"/>
      <c r="S39" s="5"/>
      <c r="T39" s="5"/>
      <c r="U39" s="5"/>
    </row>
    <row r="40" spans="2:21" ht="15.75" x14ac:dyDescent="0.25">
      <c r="B40" s="2">
        <v>20</v>
      </c>
      <c r="C40" s="112">
        <f>'IAT-1'!C45</f>
        <v>951323243020</v>
      </c>
      <c r="D40" s="113" t="str">
        <f>'IAT-1'!D45</f>
        <v>GOKILA G</v>
      </c>
      <c r="E40" s="4" t="s">
        <v>44</v>
      </c>
      <c r="F40" s="111">
        <f t="shared" si="0"/>
        <v>70</v>
      </c>
      <c r="G40" s="5"/>
      <c r="H40" s="5"/>
      <c r="I40" s="5"/>
      <c r="J40" s="57" t="s">
        <v>41</v>
      </c>
      <c r="K40" s="57">
        <v>6</v>
      </c>
      <c r="L40" s="5"/>
      <c r="M40" s="5"/>
      <c r="N40" s="5"/>
      <c r="O40" s="5"/>
      <c r="P40" s="5"/>
      <c r="Q40" s="5"/>
      <c r="R40" s="5"/>
      <c r="S40" s="5"/>
      <c r="T40" s="5"/>
      <c r="U40" s="5"/>
    </row>
    <row r="41" spans="2:21" ht="15.75" x14ac:dyDescent="0.25">
      <c r="B41" s="2">
        <v>21</v>
      </c>
      <c r="C41" s="112">
        <f>'IAT-1'!C46</f>
        <v>951323243021</v>
      </c>
      <c r="D41" s="113" t="str">
        <f>'IAT-1'!D46</f>
        <v>GOWRI KRISHNAVENI N</v>
      </c>
      <c r="E41" s="4" t="s">
        <v>42</v>
      </c>
      <c r="F41" s="111">
        <f t="shared" si="0"/>
        <v>80</v>
      </c>
      <c r="G41" s="5"/>
      <c r="H41" s="5"/>
      <c r="I41" s="5"/>
      <c r="J41" s="57" t="s">
        <v>44</v>
      </c>
      <c r="K41" s="57">
        <v>7</v>
      </c>
      <c r="L41" s="5"/>
      <c r="M41" s="5"/>
      <c r="N41" s="5"/>
      <c r="O41" s="5"/>
      <c r="P41" s="5"/>
      <c r="Q41" s="5"/>
      <c r="R41" s="5"/>
      <c r="S41" s="5"/>
      <c r="T41" s="5"/>
      <c r="U41" s="5"/>
    </row>
    <row r="42" spans="2:21" ht="15.75" x14ac:dyDescent="0.25">
      <c r="B42" s="2">
        <v>22</v>
      </c>
      <c r="C42" s="112">
        <f>'IAT-1'!C47</f>
        <v>951323243022</v>
      </c>
      <c r="D42" s="113" t="str">
        <f>'IAT-1'!D47</f>
        <v>HEART BRIGHT MERCY S</v>
      </c>
      <c r="E42" s="4" t="s">
        <v>44</v>
      </c>
      <c r="F42" s="111">
        <f t="shared" si="0"/>
        <v>70</v>
      </c>
      <c r="G42" s="5"/>
      <c r="H42" s="5"/>
      <c r="I42" s="5"/>
      <c r="J42" s="57" t="s">
        <v>42</v>
      </c>
      <c r="K42" s="57">
        <v>8</v>
      </c>
      <c r="L42" s="5"/>
      <c r="M42" s="5"/>
      <c r="N42" s="5"/>
      <c r="O42" s="5"/>
      <c r="P42" s="5"/>
      <c r="Q42" s="5"/>
      <c r="R42" s="5"/>
      <c r="S42" s="5"/>
      <c r="T42" s="5"/>
      <c r="U42" s="5"/>
    </row>
    <row r="43" spans="2:21" ht="15.75" x14ac:dyDescent="0.25">
      <c r="B43" s="2">
        <v>23</v>
      </c>
      <c r="C43" s="112">
        <f>'IAT-1'!C48</f>
        <v>951323243023</v>
      </c>
      <c r="D43" s="113" t="str">
        <f>'IAT-1'!D48</f>
        <v>INFANT EBINESH R</v>
      </c>
      <c r="E43" s="4" t="s">
        <v>41</v>
      </c>
      <c r="F43" s="111">
        <f t="shared" si="0"/>
        <v>60</v>
      </c>
      <c r="G43" s="5"/>
      <c r="H43" s="5"/>
      <c r="I43" s="5"/>
      <c r="J43" s="57" t="s">
        <v>45</v>
      </c>
      <c r="K43" s="57">
        <v>9</v>
      </c>
      <c r="L43" s="5"/>
      <c r="M43" s="5"/>
      <c r="N43" s="5"/>
      <c r="O43" s="5"/>
      <c r="P43" s="5"/>
      <c r="Q43" s="5"/>
      <c r="R43" s="5"/>
      <c r="S43" s="5"/>
      <c r="T43" s="5"/>
      <c r="U43" s="5"/>
    </row>
    <row r="44" spans="2:21" ht="15.75" x14ac:dyDescent="0.25">
      <c r="B44" s="2">
        <v>24</v>
      </c>
      <c r="C44" s="112">
        <f>'IAT-1'!C49</f>
        <v>951323243024</v>
      </c>
      <c r="D44" s="113" t="str">
        <f>'IAT-1'!D49</f>
        <v>JAI SURYA N</v>
      </c>
      <c r="E44" s="4" t="s">
        <v>44</v>
      </c>
      <c r="F44" s="111">
        <f t="shared" si="0"/>
        <v>70</v>
      </c>
      <c r="G44" s="5"/>
      <c r="H44" s="5"/>
      <c r="I44" s="5"/>
      <c r="J44" s="57" t="s">
        <v>43</v>
      </c>
      <c r="K44" s="57">
        <v>10</v>
      </c>
      <c r="L44" s="5"/>
      <c r="M44" s="5"/>
      <c r="N44" s="5"/>
      <c r="O44" s="5"/>
      <c r="P44" s="5"/>
      <c r="Q44" s="5"/>
      <c r="R44" s="5"/>
      <c r="S44" s="5"/>
      <c r="T44" s="5"/>
      <c r="U44" s="5"/>
    </row>
    <row r="45" spans="2:21" ht="15.75" x14ac:dyDescent="0.25">
      <c r="B45" s="2">
        <v>25</v>
      </c>
      <c r="C45" s="112">
        <f>'IAT-1'!C50</f>
        <v>951323243025</v>
      </c>
      <c r="D45" s="113" t="str">
        <f>'IAT-1'!D50</f>
        <v>JANI ALICE THIRSA J</v>
      </c>
      <c r="E45" s="4" t="s">
        <v>44</v>
      </c>
      <c r="F45" s="111">
        <f t="shared" si="0"/>
        <v>70</v>
      </c>
      <c r="G45" s="5"/>
      <c r="H45" s="5"/>
      <c r="I45" s="5"/>
      <c r="J45" s="58" t="s">
        <v>97</v>
      </c>
      <c r="K45" s="58">
        <v>0</v>
      </c>
      <c r="L45" s="5"/>
      <c r="M45" s="5"/>
      <c r="N45" s="5"/>
      <c r="O45" s="5"/>
      <c r="P45" s="5"/>
      <c r="Q45" s="5"/>
      <c r="R45" s="5"/>
      <c r="S45" s="5"/>
      <c r="T45" s="5"/>
      <c r="U45" s="5"/>
    </row>
    <row r="46" spans="2:21" ht="15.75" x14ac:dyDescent="0.25">
      <c r="B46" s="2">
        <v>26</v>
      </c>
      <c r="C46" s="112">
        <f>'IAT-1'!C51</f>
        <v>951323243026</v>
      </c>
      <c r="D46" s="113" t="str">
        <f>'IAT-1'!D51</f>
        <v>JEBA A</v>
      </c>
      <c r="E46" s="4" t="s">
        <v>42</v>
      </c>
      <c r="F46" s="111">
        <f t="shared" si="0"/>
        <v>80</v>
      </c>
      <c r="G46" s="5"/>
      <c r="H46" s="5"/>
      <c r="I46" s="5"/>
      <c r="J46" s="5"/>
      <c r="K46" s="5"/>
      <c r="L46" s="5"/>
      <c r="M46" s="5"/>
      <c r="N46" s="5"/>
      <c r="O46" s="5"/>
      <c r="P46" s="5"/>
      <c r="Q46" s="5"/>
      <c r="R46" s="5"/>
      <c r="S46" s="5"/>
      <c r="T46" s="5"/>
      <c r="U46" s="5"/>
    </row>
    <row r="47" spans="2:21" ht="15.75" x14ac:dyDescent="0.25">
      <c r="B47" s="2">
        <v>27</v>
      </c>
      <c r="C47" s="112">
        <f>'IAT-1'!C52</f>
        <v>951323243027</v>
      </c>
      <c r="D47" s="113" t="str">
        <f>'IAT-1'!D52</f>
        <v>JENIFER E</v>
      </c>
      <c r="E47" s="4" t="s">
        <v>42</v>
      </c>
      <c r="F47" s="111">
        <f t="shared" si="0"/>
        <v>80</v>
      </c>
      <c r="G47" s="5"/>
      <c r="H47" s="5"/>
      <c r="I47" s="5"/>
      <c r="J47" s="5"/>
      <c r="K47" s="5"/>
      <c r="L47" s="5"/>
      <c r="M47" s="5"/>
      <c r="N47" s="5"/>
      <c r="O47" s="5"/>
      <c r="P47" s="5"/>
      <c r="Q47" s="5"/>
      <c r="R47" s="5"/>
      <c r="S47" s="5"/>
      <c r="T47" s="5"/>
      <c r="U47" s="5"/>
    </row>
    <row r="48" spans="2:21" ht="15.75" x14ac:dyDescent="0.25">
      <c r="B48" s="2">
        <v>28</v>
      </c>
      <c r="C48" s="112">
        <f>'IAT-1'!C53</f>
        <v>951323243028</v>
      </c>
      <c r="D48" s="113" t="str">
        <f>'IAT-1'!D53</f>
        <v>JENITTA CATHERIN R</v>
      </c>
      <c r="E48" s="4" t="s">
        <v>44</v>
      </c>
      <c r="F48" s="111">
        <f t="shared" si="0"/>
        <v>70</v>
      </c>
      <c r="G48" s="5"/>
      <c r="H48" s="5"/>
      <c r="I48" s="5"/>
      <c r="J48" s="5"/>
      <c r="K48" s="5"/>
      <c r="L48" s="5"/>
      <c r="M48" s="5"/>
      <c r="N48" s="5"/>
      <c r="O48" s="5"/>
      <c r="P48" s="5"/>
      <c r="Q48" s="5"/>
      <c r="R48" s="5"/>
      <c r="S48" s="5"/>
      <c r="T48" s="5"/>
      <c r="U48" s="5"/>
    </row>
    <row r="49" spans="2:21" ht="15.75" x14ac:dyDescent="0.25">
      <c r="B49" s="2">
        <v>29</v>
      </c>
      <c r="C49" s="112">
        <f>'IAT-1'!C54</f>
        <v>951323243029</v>
      </c>
      <c r="D49" s="113" t="str">
        <f>'IAT-1'!D54</f>
        <v>JEYACHITHRA K</v>
      </c>
      <c r="E49" s="4" t="s">
        <v>42</v>
      </c>
      <c r="F49" s="111">
        <f t="shared" si="0"/>
        <v>80</v>
      </c>
      <c r="G49" s="5"/>
      <c r="H49" s="5"/>
      <c r="I49" s="5"/>
      <c r="J49" s="5"/>
      <c r="K49" s="5"/>
      <c r="L49" s="5"/>
      <c r="M49" s="5"/>
      <c r="N49" s="5"/>
      <c r="O49" s="5"/>
      <c r="P49" s="5"/>
      <c r="Q49" s="5"/>
      <c r="R49" s="5"/>
      <c r="S49" s="5"/>
      <c r="T49" s="5"/>
      <c r="U49" s="5"/>
    </row>
    <row r="50" spans="2:21" ht="15.75" x14ac:dyDescent="0.25">
      <c r="B50" s="2">
        <v>30</v>
      </c>
      <c r="C50" s="112">
        <f>'IAT-1'!C55</f>
        <v>951323243030</v>
      </c>
      <c r="D50" s="113" t="str">
        <f>'IAT-1'!D55</f>
        <v>JOSVA PRINCE R</v>
      </c>
      <c r="E50" s="4" t="s">
        <v>44</v>
      </c>
      <c r="F50" s="111">
        <f t="shared" si="0"/>
        <v>70</v>
      </c>
      <c r="G50" s="5"/>
      <c r="H50" s="5"/>
      <c r="I50" s="5"/>
      <c r="J50" s="5"/>
      <c r="K50" s="5"/>
      <c r="L50" s="5"/>
      <c r="M50" s="5"/>
      <c r="N50" s="5"/>
      <c r="O50" s="5"/>
      <c r="P50" s="5"/>
      <c r="Q50" s="5"/>
      <c r="R50" s="5"/>
      <c r="S50" s="5"/>
      <c r="T50" s="5"/>
      <c r="U50" s="5"/>
    </row>
    <row r="51" spans="2:21" ht="15.75" x14ac:dyDescent="0.25">
      <c r="B51" s="2">
        <v>31</v>
      </c>
      <c r="C51" s="112">
        <f>'IAT-1'!C56</f>
        <v>951323243031</v>
      </c>
      <c r="D51" s="113" t="str">
        <f>'IAT-1'!D56</f>
        <v>KALAI SELVAN VINOTH P</v>
      </c>
      <c r="E51" s="4" t="s">
        <v>44</v>
      </c>
      <c r="F51" s="111">
        <f t="shared" si="0"/>
        <v>70</v>
      </c>
      <c r="G51" s="5"/>
      <c r="H51" s="5"/>
      <c r="I51" s="5"/>
      <c r="J51" s="5"/>
      <c r="K51" s="5"/>
      <c r="L51" s="5"/>
      <c r="M51" s="5"/>
      <c r="N51" s="5"/>
      <c r="O51" s="5"/>
      <c r="P51" s="5"/>
      <c r="Q51" s="5"/>
      <c r="R51" s="5"/>
      <c r="S51" s="5"/>
      <c r="T51" s="5"/>
      <c r="U51" s="5"/>
    </row>
    <row r="52" spans="2:21" ht="15.75" x14ac:dyDescent="0.25">
      <c r="B52" s="2">
        <v>32</v>
      </c>
      <c r="C52" s="112">
        <f>'IAT-1'!C57</f>
        <v>951323243032</v>
      </c>
      <c r="D52" s="113" t="str">
        <f>'IAT-1'!D57</f>
        <v>LAKSHMANAN SARATHI S</v>
      </c>
      <c r="E52" s="4" t="s">
        <v>44</v>
      </c>
      <c r="F52" s="111">
        <f t="shared" si="0"/>
        <v>70</v>
      </c>
      <c r="G52" s="5"/>
      <c r="H52" s="5"/>
      <c r="I52" s="5"/>
      <c r="J52" s="5"/>
      <c r="K52" s="5"/>
      <c r="L52" s="5"/>
      <c r="M52" s="5"/>
      <c r="N52" s="5"/>
      <c r="O52" s="5"/>
      <c r="P52" s="5"/>
      <c r="Q52" s="5"/>
      <c r="R52" s="5"/>
      <c r="S52" s="5"/>
      <c r="T52" s="5"/>
      <c r="U52" s="5"/>
    </row>
    <row r="53" spans="2:21" ht="15.75" x14ac:dyDescent="0.25">
      <c r="B53" s="2">
        <v>33</v>
      </c>
      <c r="C53" s="112">
        <f>'IAT-1'!C58</f>
        <v>951323243033</v>
      </c>
      <c r="D53" s="113" t="str">
        <f>'IAT-1'!D58</f>
        <v>LIJO DURAISINGH V S</v>
      </c>
      <c r="E53" s="4" t="s">
        <v>44</v>
      </c>
      <c r="F53" s="111">
        <f t="shared" ref="F53:F77" si="1">VLOOKUP(E53,$J$36:$K$45,2,FALSE)*10</f>
        <v>70</v>
      </c>
      <c r="G53" s="5"/>
      <c r="H53" s="5"/>
      <c r="I53" s="5"/>
      <c r="J53" s="5"/>
      <c r="K53" s="5"/>
      <c r="L53" s="5"/>
      <c r="M53" s="5"/>
      <c r="N53" s="5"/>
      <c r="O53" s="5"/>
      <c r="P53" s="5"/>
      <c r="Q53" s="5"/>
      <c r="R53" s="5"/>
      <c r="S53" s="5"/>
      <c r="T53" s="5"/>
      <c r="U53" s="5"/>
    </row>
    <row r="54" spans="2:21" ht="15.75" x14ac:dyDescent="0.25">
      <c r="B54" s="2">
        <v>34</v>
      </c>
      <c r="C54" s="112">
        <f>'IAT-1'!C59</f>
        <v>951323243034</v>
      </c>
      <c r="D54" s="113" t="str">
        <f>'IAT-1'!D59</f>
        <v>LOVISAL JOY K</v>
      </c>
      <c r="E54" s="4" t="s">
        <v>44</v>
      </c>
      <c r="F54" s="111">
        <f t="shared" si="1"/>
        <v>70</v>
      </c>
      <c r="G54" s="5"/>
      <c r="H54" s="5"/>
      <c r="I54" s="5"/>
      <c r="J54" s="5"/>
      <c r="K54" s="5"/>
      <c r="L54" s="5"/>
      <c r="M54" s="5"/>
      <c r="N54" s="5"/>
      <c r="O54" s="5"/>
      <c r="P54" s="5"/>
      <c r="Q54" s="5"/>
      <c r="R54" s="5"/>
      <c r="S54" s="5"/>
      <c r="T54" s="5"/>
      <c r="U54" s="5"/>
    </row>
    <row r="55" spans="2:21" ht="15.75" x14ac:dyDescent="0.25">
      <c r="B55" s="2">
        <v>35</v>
      </c>
      <c r="C55" s="112">
        <f>'IAT-1'!C60</f>
        <v>951323243035</v>
      </c>
      <c r="D55" s="113" t="str">
        <f>'IAT-1'!D60</f>
        <v>MAGESH GOWRI S</v>
      </c>
      <c r="E55" s="4" t="s">
        <v>44</v>
      </c>
      <c r="F55" s="111">
        <f t="shared" si="1"/>
        <v>70</v>
      </c>
      <c r="G55" s="5"/>
      <c r="H55" s="5"/>
      <c r="I55" s="5"/>
      <c r="J55" s="5"/>
      <c r="K55" s="5"/>
      <c r="L55" s="5"/>
      <c r="M55" s="5"/>
      <c r="N55" s="5"/>
      <c r="O55" s="5"/>
      <c r="P55" s="5"/>
      <c r="Q55" s="5"/>
      <c r="R55" s="5"/>
      <c r="S55" s="5"/>
      <c r="T55" s="5"/>
      <c r="U55" s="5"/>
    </row>
    <row r="56" spans="2:21" ht="15.75" x14ac:dyDescent="0.25">
      <c r="B56" s="2">
        <v>36</v>
      </c>
      <c r="C56" s="112">
        <f>'IAT-1'!C61</f>
        <v>951323243036</v>
      </c>
      <c r="D56" s="113" t="str">
        <f>'IAT-1'!D61</f>
        <v>MARIMUTHU S</v>
      </c>
      <c r="E56" s="4" t="s">
        <v>44</v>
      </c>
      <c r="F56" s="111">
        <f t="shared" si="1"/>
        <v>70</v>
      </c>
      <c r="G56" s="5"/>
      <c r="H56" s="5"/>
      <c r="I56" s="5"/>
      <c r="J56" s="5"/>
      <c r="K56" s="5"/>
      <c r="L56" s="5"/>
      <c r="M56" s="5"/>
      <c r="N56" s="5"/>
      <c r="O56" s="5"/>
      <c r="P56" s="5"/>
      <c r="Q56" s="5"/>
      <c r="R56" s="5"/>
      <c r="S56" s="5"/>
      <c r="T56" s="5"/>
      <c r="U56" s="5"/>
    </row>
    <row r="57" spans="2:21" ht="15.75" x14ac:dyDescent="0.25">
      <c r="B57" s="2">
        <v>37</v>
      </c>
      <c r="C57" s="112">
        <f>'IAT-1'!C62</f>
        <v>951323243037</v>
      </c>
      <c r="D57" s="113" t="str">
        <f>'IAT-1'!D62</f>
        <v>MARIYA FATHIMA JEYARANI R</v>
      </c>
      <c r="E57" s="4" t="s">
        <v>44</v>
      </c>
      <c r="F57" s="111">
        <f t="shared" si="1"/>
        <v>70</v>
      </c>
      <c r="G57" s="5"/>
      <c r="H57" s="5"/>
      <c r="I57" s="5"/>
      <c r="J57" s="5"/>
      <c r="K57" s="5"/>
      <c r="L57" s="5"/>
      <c r="M57" s="5"/>
      <c r="N57" s="5"/>
      <c r="O57" s="5"/>
      <c r="P57" s="5"/>
      <c r="Q57" s="5"/>
      <c r="R57" s="5"/>
      <c r="S57" s="5"/>
      <c r="T57" s="5"/>
      <c r="U57" s="5"/>
    </row>
    <row r="58" spans="2:21" ht="15.75" x14ac:dyDescent="0.25">
      <c r="B58" s="2">
        <v>38</v>
      </c>
      <c r="C58" s="112">
        <f>'IAT-1'!C63</f>
        <v>951323243038</v>
      </c>
      <c r="D58" s="113" t="str">
        <f>'IAT-1'!D63</f>
        <v>MARTIN PRISCA D</v>
      </c>
      <c r="E58" s="4" t="s">
        <v>44</v>
      </c>
      <c r="F58" s="111">
        <f t="shared" si="1"/>
        <v>70</v>
      </c>
      <c r="G58" s="5"/>
      <c r="H58" s="5"/>
      <c r="I58" s="5"/>
      <c r="J58" s="5"/>
      <c r="K58" s="5"/>
      <c r="L58" s="5"/>
      <c r="M58" s="5"/>
      <c r="N58" s="5"/>
      <c r="O58" s="5"/>
      <c r="P58" s="5"/>
      <c r="Q58" s="5"/>
      <c r="R58" s="5"/>
      <c r="S58" s="5"/>
      <c r="T58" s="5"/>
      <c r="U58" s="5"/>
    </row>
    <row r="59" spans="2:21" ht="15.75" x14ac:dyDescent="0.25">
      <c r="B59" s="2">
        <v>39</v>
      </c>
      <c r="C59" s="112">
        <f>'IAT-1'!C64</f>
        <v>951323243039</v>
      </c>
      <c r="D59" s="113" t="str">
        <f>'IAT-1'!D64</f>
        <v>MERLIN HEPSIBA K</v>
      </c>
      <c r="E59" s="4" t="s">
        <v>43</v>
      </c>
      <c r="F59" s="111">
        <f t="shared" si="1"/>
        <v>100</v>
      </c>
      <c r="G59" s="5"/>
      <c r="H59" s="5"/>
      <c r="I59" s="5"/>
      <c r="J59" s="5"/>
      <c r="K59" s="5"/>
      <c r="L59" s="5"/>
      <c r="M59" s="5"/>
      <c r="N59" s="5"/>
      <c r="O59" s="5"/>
      <c r="P59" s="5"/>
      <c r="Q59" s="5"/>
      <c r="R59" s="5"/>
      <c r="S59" s="5"/>
      <c r="T59" s="5"/>
      <c r="U59" s="5"/>
    </row>
    <row r="60" spans="2:21" ht="15.75" x14ac:dyDescent="0.25">
      <c r="B60" s="2">
        <v>42</v>
      </c>
      <c r="C60" s="112">
        <f>'IAT-1'!C65</f>
        <v>951323243042</v>
      </c>
      <c r="D60" s="113" t="str">
        <f>'IAT-1'!D65</f>
        <v>MUTHUPRASANNA M</v>
      </c>
      <c r="E60" s="4" t="s">
        <v>44</v>
      </c>
      <c r="F60" s="111">
        <f t="shared" si="1"/>
        <v>70</v>
      </c>
      <c r="G60" s="5"/>
      <c r="H60" s="5"/>
      <c r="I60" s="5"/>
      <c r="J60" s="5"/>
      <c r="K60" s="5"/>
      <c r="L60" s="5"/>
      <c r="M60" s="5"/>
      <c r="N60" s="5"/>
      <c r="O60" s="5"/>
      <c r="P60" s="5"/>
      <c r="Q60" s="5"/>
      <c r="R60" s="5"/>
      <c r="S60" s="5"/>
      <c r="T60" s="5"/>
      <c r="U60" s="5"/>
    </row>
    <row r="61" spans="2:21" ht="15.75" x14ac:dyDescent="0.25">
      <c r="B61" s="2">
        <v>43</v>
      </c>
      <c r="C61" s="112">
        <f>'IAT-1'!C66</f>
        <v>951323243043</v>
      </c>
      <c r="D61" s="113" t="str">
        <f>'IAT-1'!D66</f>
        <v>MUTHURAJ M</v>
      </c>
      <c r="E61" s="4" t="s">
        <v>44</v>
      </c>
      <c r="F61" s="111">
        <f t="shared" si="1"/>
        <v>70</v>
      </c>
      <c r="G61" s="5"/>
      <c r="H61" s="5"/>
      <c r="I61" s="5"/>
      <c r="J61" s="5"/>
      <c r="K61" s="5"/>
      <c r="L61" s="5"/>
      <c r="M61" s="5"/>
      <c r="N61" s="5"/>
      <c r="O61" s="5"/>
      <c r="P61" s="5"/>
      <c r="Q61" s="5"/>
      <c r="R61" s="5"/>
      <c r="S61" s="5"/>
      <c r="T61" s="5"/>
      <c r="U61" s="5"/>
    </row>
    <row r="62" spans="2:21" ht="15.75" x14ac:dyDescent="0.25">
      <c r="B62" s="2">
        <v>45</v>
      </c>
      <c r="C62" s="112">
        <f>'IAT-1'!C67</f>
        <v>951323243045</v>
      </c>
      <c r="D62" s="113" t="str">
        <f>'IAT-1'!D67</f>
        <v>PONKEERTHANA B</v>
      </c>
      <c r="E62" s="4" t="s">
        <v>44</v>
      </c>
      <c r="F62" s="111">
        <f t="shared" si="1"/>
        <v>70</v>
      </c>
      <c r="G62" s="5"/>
      <c r="H62" s="5"/>
      <c r="I62" s="5"/>
      <c r="J62" s="5"/>
      <c r="K62" s="5"/>
      <c r="L62" s="5"/>
      <c r="M62" s="5"/>
      <c r="N62" s="5"/>
      <c r="O62" s="5"/>
      <c r="P62" s="5"/>
      <c r="Q62" s="5"/>
      <c r="R62" s="5"/>
      <c r="S62" s="5"/>
      <c r="T62" s="5"/>
      <c r="U62" s="5"/>
    </row>
    <row r="63" spans="2:21" ht="15.75" x14ac:dyDescent="0.25">
      <c r="B63" s="2">
        <v>46</v>
      </c>
      <c r="C63" s="112">
        <f>'IAT-1'!C68</f>
        <v>951323243046</v>
      </c>
      <c r="D63" s="113" t="str">
        <f>'IAT-1'!D68</f>
        <v>POORANATRIFFIE P</v>
      </c>
      <c r="E63" s="4" t="s">
        <v>44</v>
      </c>
      <c r="F63" s="111">
        <f t="shared" si="1"/>
        <v>70</v>
      </c>
      <c r="G63" s="5"/>
      <c r="H63" s="5"/>
      <c r="I63" s="5"/>
      <c r="J63" s="5"/>
      <c r="K63" s="5"/>
      <c r="L63" s="5"/>
      <c r="M63" s="5"/>
      <c r="N63" s="5"/>
      <c r="O63" s="5"/>
      <c r="P63" s="5"/>
      <c r="Q63" s="5"/>
      <c r="R63" s="5"/>
      <c r="S63" s="5"/>
      <c r="T63" s="5"/>
      <c r="U63" s="5"/>
    </row>
    <row r="64" spans="2:21" ht="15.75" x14ac:dyDescent="0.25">
      <c r="B64" s="2">
        <v>47</v>
      </c>
      <c r="C64" s="112">
        <f>'IAT-1'!C69</f>
        <v>951323243047</v>
      </c>
      <c r="D64" s="113" t="str">
        <f>'IAT-1'!D69</f>
        <v>RACKLAND T</v>
      </c>
      <c r="E64" s="4" t="s">
        <v>165</v>
      </c>
      <c r="F64" s="111">
        <f t="shared" si="1"/>
        <v>0</v>
      </c>
      <c r="G64" s="5"/>
      <c r="H64" s="5"/>
      <c r="I64" s="5"/>
      <c r="J64" s="5"/>
      <c r="K64" s="5"/>
      <c r="L64" s="5"/>
      <c r="M64" s="5"/>
      <c r="N64" s="5"/>
      <c r="O64" s="5"/>
      <c r="P64" s="5"/>
      <c r="Q64" s="5"/>
      <c r="R64" s="5"/>
      <c r="S64" s="5"/>
      <c r="T64" s="5"/>
      <c r="U64" s="5"/>
    </row>
    <row r="65" spans="1:21" ht="15.75" x14ac:dyDescent="0.25">
      <c r="B65" s="2">
        <v>48</v>
      </c>
      <c r="C65" s="112">
        <f>'IAT-1'!C70</f>
        <v>951323243048</v>
      </c>
      <c r="D65" s="113" t="str">
        <f>'IAT-1'!D70</f>
        <v>RAJA SUNDAR K</v>
      </c>
      <c r="E65" s="4" t="s">
        <v>44</v>
      </c>
      <c r="F65" s="111">
        <f t="shared" si="1"/>
        <v>70</v>
      </c>
      <c r="G65" s="5"/>
      <c r="H65" s="5"/>
      <c r="I65" s="5"/>
      <c r="J65" s="5"/>
      <c r="K65" s="5"/>
      <c r="L65" s="5"/>
      <c r="M65" s="5"/>
      <c r="N65" s="5"/>
      <c r="O65" s="5"/>
      <c r="P65" s="5"/>
      <c r="Q65" s="5"/>
      <c r="R65" s="5"/>
      <c r="S65" s="5"/>
      <c r="T65" s="5"/>
      <c r="U65" s="5"/>
    </row>
    <row r="66" spans="1:21" ht="15.75" x14ac:dyDescent="0.25">
      <c r="B66" s="2">
        <v>49</v>
      </c>
      <c r="C66" s="112">
        <f>'IAT-1'!C71</f>
        <v>951323243049</v>
      </c>
      <c r="D66" s="113" t="str">
        <f>'IAT-1'!D71</f>
        <v>RAMALINGAM B</v>
      </c>
      <c r="E66" s="4" t="s">
        <v>165</v>
      </c>
      <c r="F66" s="111">
        <f t="shared" si="1"/>
        <v>0</v>
      </c>
      <c r="G66" s="5"/>
      <c r="H66" s="5"/>
      <c r="I66" s="5"/>
      <c r="J66" s="5"/>
      <c r="K66" s="5"/>
      <c r="L66" s="5"/>
      <c r="M66" s="5"/>
      <c r="N66" s="5"/>
      <c r="O66" s="5"/>
      <c r="P66" s="5"/>
      <c r="Q66" s="5"/>
      <c r="R66" s="5"/>
      <c r="S66" s="5"/>
      <c r="T66" s="5"/>
      <c r="U66" s="5"/>
    </row>
    <row r="67" spans="1:21" ht="15.75" x14ac:dyDescent="0.25">
      <c r="B67" s="2">
        <v>50</v>
      </c>
      <c r="C67" s="112">
        <f>'IAT-1'!C72</f>
        <v>951323243050</v>
      </c>
      <c r="D67" s="113" t="str">
        <f>'IAT-1'!D72</f>
        <v>SELVAM GRACELIN S</v>
      </c>
      <c r="E67" s="4" t="s">
        <v>45</v>
      </c>
      <c r="F67" s="111">
        <f t="shared" si="1"/>
        <v>90</v>
      </c>
      <c r="G67" s="5"/>
      <c r="H67" s="5"/>
      <c r="I67" s="5"/>
      <c r="J67" s="5"/>
      <c r="K67" s="5"/>
      <c r="L67" s="5"/>
      <c r="M67" s="5"/>
      <c r="N67" s="5"/>
      <c r="O67" s="5"/>
      <c r="P67" s="5"/>
      <c r="Q67" s="5"/>
      <c r="R67" s="5"/>
      <c r="S67" s="5"/>
      <c r="T67" s="5"/>
      <c r="U67" s="5"/>
    </row>
    <row r="68" spans="1:21" ht="15.75" x14ac:dyDescent="0.25">
      <c r="B68" s="2">
        <v>51</v>
      </c>
      <c r="C68" s="112">
        <f>'IAT-1'!C73</f>
        <v>951323243051</v>
      </c>
      <c r="D68" s="113" t="str">
        <f>'IAT-1'!D73</f>
        <v>SHANKAR V</v>
      </c>
      <c r="E68" s="4" t="s">
        <v>44</v>
      </c>
      <c r="F68" s="111">
        <f t="shared" si="1"/>
        <v>70</v>
      </c>
      <c r="G68" s="5"/>
      <c r="H68" s="5"/>
      <c r="I68" s="5"/>
      <c r="J68" s="5"/>
      <c r="K68" s="5"/>
      <c r="L68" s="5"/>
      <c r="M68" s="5"/>
      <c r="N68" s="5"/>
      <c r="O68" s="5"/>
      <c r="P68" s="5"/>
      <c r="Q68" s="5"/>
      <c r="R68" s="5"/>
      <c r="S68" s="5"/>
      <c r="T68" s="5"/>
      <c r="U68" s="5"/>
    </row>
    <row r="69" spans="1:21" ht="15.75" x14ac:dyDescent="0.25">
      <c r="B69" s="2">
        <v>52</v>
      </c>
      <c r="C69" s="112">
        <f>'IAT-1'!C74</f>
        <v>951323243052</v>
      </c>
      <c r="D69" s="113" t="str">
        <f>'IAT-1'!D74</f>
        <v>SINDHUJA RAJASUMANA R</v>
      </c>
      <c r="E69" s="4" t="s">
        <v>45</v>
      </c>
      <c r="F69" s="111">
        <f t="shared" si="1"/>
        <v>90</v>
      </c>
      <c r="G69" s="5"/>
      <c r="H69" s="5"/>
      <c r="I69" s="5"/>
      <c r="J69" s="5"/>
      <c r="K69" s="5"/>
      <c r="L69" s="5"/>
      <c r="M69" s="5"/>
      <c r="N69" s="5"/>
      <c r="O69" s="5"/>
      <c r="P69" s="5"/>
      <c r="Q69" s="5"/>
      <c r="R69" s="5"/>
      <c r="S69" s="5"/>
      <c r="T69" s="5"/>
      <c r="U69" s="5"/>
    </row>
    <row r="70" spans="1:21" ht="15.75" x14ac:dyDescent="0.25">
      <c r="B70" s="2">
        <v>53</v>
      </c>
      <c r="C70" s="112">
        <f>'IAT-1'!C75</f>
        <v>951323243053</v>
      </c>
      <c r="D70" s="113" t="str">
        <f>'IAT-1'!D75</f>
        <v>SNEGA G</v>
      </c>
      <c r="E70" s="4" t="s">
        <v>43</v>
      </c>
      <c r="F70" s="111">
        <f t="shared" si="1"/>
        <v>100</v>
      </c>
      <c r="G70" s="5"/>
      <c r="H70" s="5"/>
      <c r="I70" s="5"/>
      <c r="J70" s="5"/>
      <c r="K70" s="5"/>
      <c r="L70" s="5"/>
      <c r="M70" s="5"/>
      <c r="N70" s="5"/>
      <c r="O70" s="5"/>
      <c r="P70" s="5"/>
      <c r="Q70" s="5"/>
      <c r="R70" s="5"/>
      <c r="S70" s="5"/>
      <c r="T70" s="5"/>
      <c r="U70" s="5"/>
    </row>
    <row r="71" spans="1:21" ht="15.75" x14ac:dyDescent="0.25">
      <c r="B71" s="2">
        <v>54</v>
      </c>
      <c r="C71" s="112">
        <f>'IAT-1'!C76</f>
        <v>951323243054</v>
      </c>
      <c r="D71" s="113" t="str">
        <f>'IAT-1'!D76</f>
        <v>SUBRAMANIAN V</v>
      </c>
      <c r="E71" s="4" t="s">
        <v>165</v>
      </c>
      <c r="F71" s="111">
        <f t="shared" si="1"/>
        <v>0</v>
      </c>
      <c r="G71" s="5"/>
      <c r="H71" s="5"/>
      <c r="I71" s="5"/>
      <c r="J71" s="5"/>
      <c r="K71" s="5"/>
      <c r="L71" s="5"/>
      <c r="M71" s="5"/>
      <c r="N71" s="5"/>
      <c r="O71" s="5"/>
      <c r="P71" s="5"/>
      <c r="Q71" s="5"/>
      <c r="R71" s="5"/>
      <c r="S71" s="5"/>
      <c r="T71" s="5"/>
      <c r="U71" s="5"/>
    </row>
    <row r="72" spans="1:21" ht="15.75" x14ac:dyDescent="0.25">
      <c r="B72" s="2">
        <v>55</v>
      </c>
      <c r="C72" s="112">
        <f>'IAT-1'!C77</f>
        <v>951323243055</v>
      </c>
      <c r="D72" s="113" t="str">
        <f>'IAT-1'!D77</f>
        <v>SUGAN RAJ H</v>
      </c>
      <c r="E72" s="4" t="s">
        <v>44</v>
      </c>
      <c r="F72" s="111">
        <f t="shared" si="1"/>
        <v>70</v>
      </c>
      <c r="G72" s="5"/>
      <c r="H72" s="5"/>
      <c r="I72" s="5"/>
      <c r="J72" s="5"/>
      <c r="K72" s="5"/>
      <c r="L72" s="5"/>
      <c r="M72" s="5"/>
      <c r="N72" s="5"/>
      <c r="O72" s="5"/>
      <c r="P72" s="5"/>
      <c r="Q72" s="5"/>
      <c r="R72" s="5"/>
      <c r="S72" s="5"/>
      <c r="T72" s="5"/>
      <c r="U72" s="5"/>
    </row>
    <row r="73" spans="1:21" ht="15.75" x14ac:dyDescent="0.25">
      <c r="B73" s="2">
        <v>56</v>
      </c>
      <c r="C73" s="112">
        <f>'IAT-1'!C78</f>
        <v>951323243056</v>
      </c>
      <c r="D73" s="113" t="str">
        <f>'IAT-1'!D78</f>
        <v>THOMAS KOILRAJ J</v>
      </c>
      <c r="E73" s="4" t="s">
        <v>165</v>
      </c>
      <c r="F73" s="111">
        <f t="shared" si="1"/>
        <v>0</v>
      </c>
      <c r="G73" s="5"/>
      <c r="H73" s="5"/>
      <c r="I73" s="5"/>
      <c r="J73" s="5"/>
      <c r="K73" s="5"/>
      <c r="L73" s="5"/>
      <c r="M73" s="5"/>
      <c r="N73" s="5"/>
      <c r="O73" s="5"/>
      <c r="P73" s="5"/>
      <c r="Q73" s="5"/>
      <c r="R73" s="5"/>
      <c r="S73" s="5"/>
      <c r="T73" s="5"/>
      <c r="U73" s="5"/>
    </row>
    <row r="74" spans="1:21" ht="15.75" x14ac:dyDescent="0.25">
      <c r="B74" s="2">
        <v>57</v>
      </c>
      <c r="C74" s="112">
        <f>'IAT-1'!C79</f>
        <v>951323243057</v>
      </c>
      <c r="D74" s="113" t="str">
        <f>'IAT-1'!D79</f>
        <v>VANITHA L</v>
      </c>
      <c r="E74" s="4" t="s">
        <v>44</v>
      </c>
      <c r="F74" s="111">
        <f t="shared" si="1"/>
        <v>70</v>
      </c>
      <c r="G74" s="5"/>
      <c r="H74" s="5"/>
      <c r="I74" s="5"/>
      <c r="J74" s="5"/>
      <c r="K74" s="5"/>
      <c r="L74" s="5"/>
      <c r="M74" s="5"/>
      <c r="N74" s="5"/>
      <c r="O74" s="5"/>
      <c r="P74" s="5"/>
      <c r="Q74" s="5"/>
      <c r="R74" s="5"/>
      <c r="S74" s="5"/>
      <c r="T74" s="5"/>
      <c r="U74" s="5"/>
    </row>
    <row r="75" spans="1:21" ht="15.75" x14ac:dyDescent="0.25">
      <c r="B75" s="2">
        <v>58</v>
      </c>
      <c r="C75" s="112">
        <f>'IAT-1'!C80</f>
        <v>951323243058</v>
      </c>
      <c r="D75" s="113" t="str">
        <f>'IAT-1'!D80</f>
        <v>VICTOR ROBINSON</v>
      </c>
      <c r="E75" s="4" t="s">
        <v>98</v>
      </c>
      <c r="F75" s="111">
        <f t="shared" si="1"/>
        <v>0</v>
      </c>
      <c r="G75" s="5"/>
      <c r="H75" s="5"/>
      <c r="I75" s="5"/>
      <c r="J75" s="5"/>
      <c r="K75" s="5"/>
      <c r="L75" s="5"/>
      <c r="M75" s="5"/>
      <c r="N75" s="5"/>
      <c r="O75" s="5"/>
      <c r="P75" s="5"/>
      <c r="Q75" s="5"/>
      <c r="R75" s="5"/>
      <c r="S75" s="5"/>
      <c r="T75" s="5"/>
      <c r="U75" s="5"/>
    </row>
    <row r="76" spans="1:21" ht="15.75" x14ac:dyDescent="0.25">
      <c r="B76" s="2">
        <v>59</v>
      </c>
      <c r="C76" s="112">
        <f>'IAT-1'!C81</f>
        <v>951323243059</v>
      </c>
      <c r="D76" s="113" t="str">
        <f>'IAT-1'!D81</f>
        <v>VIJAYAPRAKASH S</v>
      </c>
      <c r="E76" s="4" t="s">
        <v>44</v>
      </c>
      <c r="F76" s="111">
        <f t="shared" si="1"/>
        <v>70</v>
      </c>
      <c r="G76" s="5"/>
      <c r="H76" s="5"/>
      <c r="I76" s="5"/>
      <c r="J76" s="5"/>
      <c r="K76" s="5"/>
      <c r="L76" s="5"/>
      <c r="M76" s="5"/>
      <c r="N76" s="5"/>
      <c r="O76" s="5"/>
      <c r="P76" s="5"/>
      <c r="Q76" s="5"/>
      <c r="R76" s="5"/>
      <c r="S76" s="5"/>
      <c r="T76" s="5"/>
      <c r="U76" s="5"/>
    </row>
    <row r="77" spans="1:21" ht="15.75" x14ac:dyDescent="0.25">
      <c r="B77" s="2">
        <v>60</v>
      </c>
      <c r="C77" s="112">
        <f>'IAT-1'!C82</f>
        <v>951323243060</v>
      </c>
      <c r="D77" s="113" t="str">
        <f>'IAT-1'!D82</f>
        <v>VIJITHA BLESSY V</v>
      </c>
      <c r="E77" s="4" t="s">
        <v>44</v>
      </c>
      <c r="F77" s="111">
        <f t="shared" si="1"/>
        <v>70</v>
      </c>
      <c r="G77" s="5"/>
      <c r="H77" s="5"/>
      <c r="I77" s="5"/>
      <c r="J77" s="5"/>
      <c r="K77" s="5"/>
      <c r="L77" s="5"/>
      <c r="M77" s="5"/>
      <c r="N77" s="5"/>
      <c r="O77" s="5"/>
      <c r="P77" s="5"/>
      <c r="Q77" s="5"/>
      <c r="R77" s="5"/>
      <c r="S77" s="5"/>
      <c r="T77" s="5"/>
      <c r="U77" s="5"/>
    </row>
    <row r="78" spans="1:21" ht="15.75" x14ac:dyDescent="0.25">
      <c r="A78" s="472" t="s">
        <v>153</v>
      </c>
      <c r="B78" s="473"/>
      <c r="C78" s="473"/>
      <c r="D78" s="473"/>
      <c r="E78" s="293"/>
      <c r="F78" s="295">
        <f>COUNTIF(F21:F77,"&gt;=50")</f>
        <v>49</v>
      </c>
      <c r="J78" s="5"/>
      <c r="K78" s="5"/>
      <c r="R78" s="5"/>
      <c r="S78" s="5"/>
      <c r="T78" s="5"/>
      <c r="U78" s="5"/>
    </row>
    <row r="79" spans="1:21" ht="15.75" customHeight="1" x14ac:dyDescent="0.25">
      <c r="A79" s="472" t="s">
        <v>154</v>
      </c>
      <c r="B79" s="472"/>
      <c r="C79" s="472"/>
      <c r="D79" s="472"/>
      <c r="E79" s="293"/>
      <c r="F79" s="270">
        <f>ROUND(F78/$S$9*100,1)</f>
        <v>86</v>
      </c>
      <c r="R79" s="5"/>
    </row>
    <row r="80" spans="1:21" ht="15.75" customHeight="1" x14ac:dyDescent="0.25">
      <c r="A80" s="472" t="s">
        <v>39</v>
      </c>
      <c r="B80" s="472"/>
      <c r="C80" s="472"/>
      <c r="D80" s="472"/>
      <c r="E80" s="293"/>
      <c r="F80" s="295">
        <f>IF(F79&gt;=70,3,IF(F79&gt;=50,2,IF(F79&gt;=35,1,0)))</f>
        <v>3</v>
      </c>
      <c r="R80" s="5"/>
    </row>
    <row r="81" spans="18:21" ht="15.75" customHeight="1" x14ac:dyDescent="0.25">
      <c r="R81" s="5"/>
      <c r="S81" s="25"/>
      <c r="T81" s="25"/>
      <c r="U81" s="25"/>
    </row>
    <row r="82" spans="18:21" ht="15.75" customHeight="1" x14ac:dyDescent="0.25">
      <c r="R82" s="5"/>
    </row>
  </sheetData>
  <mergeCells count="19">
    <mergeCell ref="A78:D78"/>
    <mergeCell ref="A79:D79"/>
    <mergeCell ref="A80:D80"/>
    <mergeCell ref="F19:F20"/>
    <mergeCell ref="R11:T11"/>
    <mergeCell ref="R12:T12"/>
    <mergeCell ref="R13:T13"/>
    <mergeCell ref="R14:T14"/>
    <mergeCell ref="J16:Q16"/>
    <mergeCell ref="B19:B20"/>
    <mergeCell ref="C19:C20"/>
    <mergeCell ref="D19:D20"/>
    <mergeCell ref="N9:R9"/>
    <mergeCell ref="B6:N6"/>
    <mergeCell ref="B1:W1"/>
    <mergeCell ref="B2:W2"/>
    <mergeCell ref="B3:W3"/>
    <mergeCell ref="B4:W4"/>
    <mergeCell ref="B5:W5"/>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80"/>
  <sheetViews>
    <sheetView topLeftCell="A59" zoomScale="84" zoomScaleNormal="84" workbookViewId="0">
      <selection activeCell="D62" sqref="D62"/>
    </sheetView>
  </sheetViews>
  <sheetFormatPr defaultRowHeight="15" x14ac:dyDescent="0.25"/>
  <cols>
    <col min="1" max="1" width="10.28515625" customWidth="1"/>
    <col min="3" max="3" width="15.140625" customWidth="1"/>
    <col min="4" max="4" width="32.85546875" customWidth="1"/>
    <col min="5" max="5" width="13" customWidth="1"/>
    <col min="6" max="6" width="15.5703125" customWidth="1"/>
    <col min="7" max="7" width="16.140625" customWidth="1"/>
    <col min="8" max="8" width="12.140625" customWidth="1"/>
    <col min="9" max="10" width="12.42578125" customWidth="1"/>
    <col min="11" max="11" width="14.5703125" customWidth="1"/>
    <col min="12" max="12" width="9.7109375" customWidth="1"/>
    <col min="13" max="13" width="28" customWidth="1"/>
    <col min="14" max="14" width="10.28515625" customWidth="1"/>
    <col min="15" max="15" width="6.7109375" customWidth="1"/>
    <col min="16" max="16" width="11.85546875" customWidth="1"/>
  </cols>
  <sheetData>
    <row r="1" spans="1:21" x14ac:dyDescent="0.25">
      <c r="B1" s="331" t="str">
        <f>'BL-1'!A1</f>
        <v>JAYARAJ ANNAPACKIAM C. S. I. COLLEGE OF ENGINEERING</v>
      </c>
      <c r="C1" s="331"/>
      <c r="D1" s="331"/>
      <c r="E1" s="331"/>
      <c r="F1" s="331"/>
      <c r="G1" s="331"/>
      <c r="H1" s="331"/>
      <c r="I1" s="331"/>
      <c r="J1" s="331"/>
    </row>
    <row r="2" spans="1:21" x14ac:dyDescent="0.25">
      <c r="B2" s="331" t="str">
        <f>'BL-1'!A2</f>
        <v>(Approved by AICTE, New Delhi and Affiliated to Anna University)</v>
      </c>
      <c r="C2" s="331"/>
      <c r="D2" s="331"/>
      <c r="E2" s="331"/>
      <c r="F2" s="331"/>
      <c r="G2" s="331"/>
      <c r="H2" s="331"/>
      <c r="I2" s="331"/>
      <c r="J2" s="331"/>
    </row>
    <row r="3" spans="1:21" x14ac:dyDescent="0.25">
      <c r="B3" s="331" t="str">
        <f>'BL-1'!A3</f>
        <v>MARGOSCHIS NAGAR, NAZARETH - 628 617</v>
      </c>
      <c r="C3" s="331"/>
      <c r="D3" s="331"/>
      <c r="E3" s="331"/>
      <c r="F3" s="331"/>
      <c r="G3" s="331"/>
      <c r="H3" s="331"/>
      <c r="I3" s="331"/>
      <c r="J3" s="331"/>
    </row>
    <row r="4" spans="1:21" x14ac:dyDescent="0.25">
      <c r="B4" s="331" t="str">
        <f>'BL-1'!A4</f>
        <v>DEPARTMENT OF ARTIFICIAL INTELLIGENCE AND DATA SCIENCE</v>
      </c>
      <c r="C4" s="331"/>
      <c r="D4" s="331"/>
      <c r="E4" s="331"/>
      <c r="F4" s="331"/>
      <c r="G4" s="331"/>
      <c r="H4" s="331"/>
      <c r="I4" s="331"/>
      <c r="J4" s="331"/>
    </row>
    <row r="5" spans="1:21" x14ac:dyDescent="0.25">
      <c r="B5" s="331" t="s">
        <v>147</v>
      </c>
      <c r="C5" s="331"/>
      <c r="D5" s="331"/>
      <c r="E5" s="331"/>
      <c r="F5" s="331"/>
      <c r="G5" s="331"/>
      <c r="H5" s="331"/>
      <c r="I5" s="331"/>
      <c r="J5" s="331"/>
    </row>
    <row r="6" spans="1:21" x14ac:dyDescent="0.25">
      <c r="B6" s="331" t="str">
        <f>'IAT-REPORT'!B7</f>
        <v>ACADEMIC YEAR 2025-26  (ODD SEM)</v>
      </c>
      <c r="C6" s="331"/>
      <c r="D6" s="331"/>
      <c r="E6" s="331"/>
      <c r="F6" s="331"/>
      <c r="G6" s="331"/>
      <c r="H6" s="331"/>
      <c r="I6" s="331"/>
      <c r="J6" s="331"/>
    </row>
    <row r="7" spans="1:21" x14ac:dyDescent="0.25">
      <c r="B7" s="1"/>
      <c r="C7" s="1"/>
      <c r="D7" s="1"/>
      <c r="E7" s="1"/>
      <c r="F7" s="1"/>
      <c r="G7" s="1"/>
      <c r="H7" s="1"/>
      <c r="I7" s="1"/>
      <c r="J7" s="1"/>
    </row>
    <row r="8" spans="1:21" ht="15.75" x14ac:dyDescent="0.25">
      <c r="A8" s="10" t="str">
        <f>'BL-1'!A8:H8</f>
        <v>COURSE CODE / NAME: CW3551 DATA AND INFORMATION SECURITY</v>
      </c>
      <c r="B8" s="11"/>
      <c r="C8" s="11"/>
      <c r="D8" s="11"/>
      <c r="E8" s="11"/>
      <c r="F8" s="11"/>
      <c r="G8" s="11" t="str">
        <f>'BL-1'!I9</f>
        <v>CLASS  : III ADS</v>
      </c>
      <c r="H8" s="11"/>
      <c r="J8" s="11"/>
      <c r="K8" s="11" t="str">
        <f>'BL-1'!I8</f>
        <v>BATCH: 2023-2027</v>
      </c>
      <c r="L8" s="11"/>
      <c r="O8" s="11" t="str">
        <f>'BL-1'!M8</f>
        <v>SEM:05</v>
      </c>
      <c r="T8" s="22"/>
      <c r="U8" s="22"/>
    </row>
    <row r="9" spans="1:21" ht="15.75" x14ac:dyDescent="0.25">
      <c r="A9" s="10" t="str">
        <f>'BL-1'!A9:H9</f>
        <v>COURSE INSTRUCTOR/DESIGNATION: G. ALISHA EVANGELINE,AP/ADS</v>
      </c>
      <c r="B9" s="11"/>
      <c r="C9" s="11"/>
      <c r="D9" s="11"/>
      <c r="F9" s="10"/>
      <c r="G9" s="10"/>
      <c r="J9" s="11"/>
      <c r="K9" s="11"/>
      <c r="L9" s="11"/>
      <c r="M9" s="92"/>
      <c r="N9" s="408" t="s">
        <v>144</v>
      </c>
      <c r="O9" s="408"/>
      <c r="P9" s="408"/>
      <c r="Q9" s="408"/>
      <c r="R9" s="408"/>
      <c r="S9" s="88">
        <f>'IAT-1'!Z9</f>
        <v>57</v>
      </c>
      <c r="T9" s="22"/>
      <c r="U9" s="22"/>
    </row>
    <row r="10" spans="1:21" x14ac:dyDescent="0.25">
      <c r="A10" s="9" t="s">
        <v>9</v>
      </c>
      <c r="B10" s="8"/>
      <c r="C10" s="8"/>
      <c r="D10" s="8"/>
      <c r="E10" s="8"/>
      <c r="F10" s="8"/>
      <c r="G10" s="8"/>
      <c r="R10" s="22"/>
      <c r="S10" s="22"/>
    </row>
    <row r="11" spans="1:21" ht="15.75" x14ac:dyDescent="0.25">
      <c r="A11" s="12"/>
      <c r="B11" s="1"/>
      <c r="C11" s="1"/>
      <c r="D11" s="1"/>
      <c r="E11" s="1"/>
      <c r="F11" s="1"/>
      <c r="G11" s="1"/>
      <c r="H11" s="14"/>
      <c r="I11" s="15"/>
      <c r="J11" s="15"/>
      <c r="K11" s="15"/>
      <c r="L11" s="15"/>
      <c r="M11" s="17"/>
      <c r="N11" s="476" t="s">
        <v>11</v>
      </c>
      <c r="O11" s="476"/>
      <c r="P11" s="476"/>
      <c r="Q11" s="24"/>
      <c r="R11" s="24"/>
      <c r="S11" s="24"/>
    </row>
    <row r="12" spans="1:21" ht="15.75" x14ac:dyDescent="0.25">
      <c r="A12" s="12" t="str">
        <f>'BL-1'!A12</f>
        <v>CO 1</v>
      </c>
      <c r="B12" s="116" t="str">
        <f>'BL-1'!B12</f>
        <v>Understand the basics of data and information security</v>
      </c>
      <c r="C12" s="1"/>
      <c r="D12" s="1"/>
      <c r="E12" s="1"/>
      <c r="F12" s="1"/>
      <c r="G12" s="1"/>
      <c r="H12" s="26">
        <v>1</v>
      </c>
      <c r="I12" s="16" t="s">
        <v>12</v>
      </c>
      <c r="J12" s="16"/>
      <c r="K12" s="16"/>
      <c r="L12" s="16"/>
      <c r="M12" s="16"/>
      <c r="N12" s="477" t="s">
        <v>13</v>
      </c>
      <c r="O12" s="477"/>
      <c r="P12" s="477"/>
      <c r="Q12" s="23"/>
      <c r="R12" s="23"/>
      <c r="S12" s="23"/>
    </row>
    <row r="13" spans="1:21" ht="15.75" x14ac:dyDescent="0.25">
      <c r="A13" s="12" t="str">
        <f>'BL-1'!A13</f>
        <v>CO 2</v>
      </c>
      <c r="B13" s="116" t="str">
        <f>'BL-1'!B13</f>
        <v>Understand the legal, ethical and professional issues in information security</v>
      </c>
      <c r="C13" s="1"/>
      <c r="D13" s="1"/>
      <c r="H13" s="26">
        <v>2</v>
      </c>
      <c r="I13" s="16" t="s">
        <v>14</v>
      </c>
      <c r="J13" s="16"/>
      <c r="K13" s="16"/>
      <c r="L13" s="16"/>
      <c r="M13" s="16"/>
      <c r="N13" s="477" t="s">
        <v>15</v>
      </c>
      <c r="O13" s="477"/>
      <c r="P13" s="477"/>
      <c r="Q13" s="23"/>
      <c r="R13" s="23"/>
      <c r="S13" s="23"/>
    </row>
    <row r="14" spans="1:21" ht="15.75" x14ac:dyDescent="0.25">
      <c r="A14" s="12" t="str">
        <f>'BL-1'!A14</f>
        <v>CO 3</v>
      </c>
      <c r="B14" s="116" t="str">
        <f>'BL-1'!B14</f>
        <v>Understand the various authentication schemes to simulate different applications</v>
      </c>
      <c r="C14" s="1"/>
      <c r="D14" s="1"/>
      <c r="E14" s="1"/>
      <c r="F14" s="1"/>
      <c r="G14" s="1"/>
      <c r="H14" s="26">
        <v>3</v>
      </c>
      <c r="I14" s="16" t="s">
        <v>16</v>
      </c>
      <c r="J14" s="16"/>
      <c r="K14" s="16"/>
      <c r="L14" s="16"/>
      <c r="M14" s="16"/>
      <c r="N14" s="477" t="s">
        <v>17</v>
      </c>
      <c r="O14" s="477"/>
      <c r="P14" s="477"/>
      <c r="Q14" s="23"/>
      <c r="R14" s="23"/>
      <c r="S14" s="23"/>
    </row>
    <row r="15" spans="1:21" ht="15.75" x14ac:dyDescent="0.25">
      <c r="A15" s="12" t="str">
        <f>'BL-1'!A15</f>
        <v>CO 4</v>
      </c>
      <c r="B15" s="116" t="str">
        <f>'BL-1'!B15</f>
        <v>Understand various security practices and system security standards</v>
      </c>
      <c r="C15" s="1"/>
      <c r="D15" s="1"/>
      <c r="N15" s="20"/>
      <c r="O15" s="20"/>
      <c r="P15" s="21"/>
      <c r="Q15" s="21"/>
      <c r="R15" s="21"/>
      <c r="S15" s="21"/>
    </row>
    <row r="16" spans="1:21" ht="15.75" x14ac:dyDescent="0.25">
      <c r="A16" s="12" t="str">
        <f>'BL-1'!A16</f>
        <v>CO 5</v>
      </c>
      <c r="B16" s="116" t="str">
        <f>'BL-1'!B16</f>
        <v>Understand the web security protocols for E-commerce applications</v>
      </c>
      <c r="F16" s="1"/>
      <c r="H16" s="368"/>
      <c r="I16" s="368"/>
      <c r="J16" s="368"/>
      <c r="K16" s="368"/>
      <c r="L16" s="368"/>
      <c r="M16" s="368"/>
    </row>
    <row r="17" spans="2:19" x14ac:dyDescent="0.25">
      <c r="H17" s="7"/>
      <c r="I17" s="7"/>
      <c r="J17" s="7"/>
      <c r="K17" s="7"/>
      <c r="L17" s="7"/>
    </row>
    <row r="19" spans="2:19" ht="22.5" customHeight="1" x14ac:dyDescent="0.25">
      <c r="B19" s="393" t="s">
        <v>6</v>
      </c>
      <c r="C19" s="393" t="s">
        <v>7</v>
      </c>
      <c r="D19" s="448" t="s">
        <v>8</v>
      </c>
      <c r="E19" s="375" t="s">
        <v>147</v>
      </c>
      <c r="F19" s="376"/>
      <c r="G19" s="376"/>
      <c r="H19" s="376"/>
      <c r="I19" s="397"/>
    </row>
    <row r="20" spans="2:19" ht="36.75" customHeight="1" x14ac:dyDescent="0.25">
      <c r="B20" s="394"/>
      <c r="C20" s="394"/>
      <c r="D20" s="449"/>
      <c r="E20" s="271" t="s">
        <v>186</v>
      </c>
      <c r="F20" s="271" t="s">
        <v>187</v>
      </c>
      <c r="G20" s="272" t="s">
        <v>188</v>
      </c>
      <c r="H20" s="272" t="s">
        <v>189</v>
      </c>
      <c r="I20" s="272" t="s">
        <v>190</v>
      </c>
    </row>
    <row r="21" spans="2:19" x14ac:dyDescent="0.25">
      <c r="B21" s="2">
        <v>1</v>
      </c>
      <c r="C21" s="120">
        <f>'IAT-1'!C26</f>
        <v>951323243001</v>
      </c>
      <c r="D21" s="121" t="str">
        <f>'IAT-1'!D26</f>
        <v>ABINAYA S</v>
      </c>
      <c r="E21" s="273">
        <v>4</v>
      </c>
      <c r="F21" s="273">
        <v>3</v>
      </c>
      <c r="G21" s="273">
        <v>4</v>
      </c>
      <c r="H21" s="273">
        <v>4</v>
      </c>
      <c r="I21" s="273">
        <v>4</v>
      </c>
    </row>
    <row r="22" spans="2:19" x14ac:dyDescent="0.25">
      <c r="B22" s="2">
        <v>2</v>
      </c>
      <c r="C22" s="120">
        <f>'IAT-1'!C27</f>
        <v>951323243002</v>
      </c>
      <c r="D22" s="121" t="str">
        <f>'IAT-1'!D27</f>
        <v>ABISHEK S</v>
      </c>
      <c r="E22" s="273">
        <v>4</v>
      </c>
      <c r="F22" s="273">
        <v>3</v>
      </c>
      <c r="G22" s="273">
        <v>4</v>
      </c>
      <c r="H22" s="273">
        <v>3</v>
      </c>
      <c r="I22" s="273">
        <v>4</v>
      </c>
    </row>
    <row r="23" spans="2:19" x14ac:dyDescent="0.25">
      <c r="B23" s="2">
        <v>3</v>
      </c>
      <c r="C23" s="120">
        <f>'IAT-1'!C28</f>
        <v>951323243003</v>
      </c>
      <c r="D23" s="121" t="str">
        <f>'IAT-1'!D28</f>
        <v>AJEETHA S</v>
      </c>
      <c r="E23" s="273">
        <v>4</v>
      </c>
      <c r="F23" s="273">
        <v>4</v>
      </c>
      <c r="G23" s="273">
        <v>4</v>
      </c>
      <c r="H23" s="273">
        <v>4</v>
      </c>
      <c r="I23" s="273">
        <v>4</v>
      </c>
    </row>
    <row r="24" spans="2:19" ht="18" customHeight="1" x14ac:dyDescent="0.25">
      <c r="B24" s="2">
        <v>4</v>
      </c>
      <c r="C24" s="120">
        <f>'IAT-1'!C29</f>
        <v>951323243004</v>
      </c>
      <c r="D24" s="121" t="str">
        <f>'IAT-1'!D29</f>
        <v>AJIM FAYAZ K M S</v>
      </c>
      <c r="E24" s="273">
        <v>3</v>
      </c>
      <c r="F24" s="273">
        <v>3</v>
      </c>
      <c r="G24" s="273">
        <v>4</v>
      </c>
      <c r="H24" s="273">
        <v>2</v>
      </c>
      <c r="I24" s="273">
        <v>4</v>
      </c>
    </row>
    <row r="25" spans="2:19" x14ac:dyDescent="0.25">
      <c r="B25" s="2">
        <v>5</v>
      </c>
      <c r="C25" s="120">
        <f>'IAT-1'!C30</f>
        <v>951323243005</v>
      </c>
      <c r="D25" s="121" t="str">
        <f>'IAT-1'!D30</f>
        <v>ALPHONES CRUZ NAVEEN J</v>
      </c>
      <c r="E25" s="273">
        <v>4</v>
      </c>
      <c r="F25" s="273">
        <v>3</v>
      </c>
      <c r="G25" s="273">
        <v>4</v>
      </c>
      <c r="H25" s="273">
        <v>3</v>
      </c>
      <c r="I25" s="273">
        <v>3</v>
      </c>
    </row>
    <row r="26" spans="2:19" x14ac:dyDescent="0.25">
      <c r="B26" s="2">
        <v>6</v>
      </c>
      <c r="C26" s="120">
        <f>'IAT-1'!C31</f>
        <v>951323243006</v>
      </c>
      <c r="D26" s="121" t="str">
        <f>'IAT-1'!D31</f>
        <v>ANGEL AGNES D</v>
      </c>
      <c r="E26" s="273">
        <v>4</v>
      </c>
      <c r="F26" s="273">
        <v>4</v>
      </c>
      <c r="G26" s="273">
        <v>4</v>
      </c>
      <c r="H26" s="273">
        <v>4</v>
      </c>
      <c r="I26" s="273">
        <v>4</v>
      </c>
    </row>
    <row r="27" spans="2:19" ht="17.25" customHeight="1" x14ac:dyDescent="0.25">
      <c r="B27" s="2">
        <v>7</v>
      </c>
      <c r="C27" s="120">
        <f>'IAT-1'!C32</f>
        <v>951323243007</v>
      </c>
      <c r="D27" s="121" t="str">
        <f>'IAT-1'!D32</f>
        <v>ANUSHA P</v>
      </c>
      <c r="E27" s="273">
        <v>4</v>
      </c>
      <c r="F27" s="273">
        <v>4</v>
      </c>
      <c r="G27" s="273">
        <v>4</v>
      </c>
      <c r="H27" s="273">
        <v>4</v>
      </c>
      <c r="I27" s="273">
        <v>4</v>
      </c>
    </row>
    <row r="28" spans="2:19" ht="21.75" customHeight="1" x14ac:dyDescent="0.25">
      <c r="B28" s="2">
        <v>8</v>
      </c>
      <c r="C28" s="120">
        <f>'IAT-1'!C33</f>
        <v>951323243008</v>
      </c>
      <c r="D28" s="121" t="str">
        <f>'IAT-1'!D33</f>
        <v>ARIBA M</v>
      </c>
      <c r="E28" s="273">
        <v>4</v>
      </c>
      <c r="F28" s="273">
        <v>3</v>
      </c>
      <c r="G28" s="273">
        <v>4</v>
      </c>
      <c r="H28" s="273">
        <v>3</v>
      </c>
      <c r="I28" s="273">
        <v>4</v>
      </c>
    </row>
    <row r="29" spans="2:19" x14ac:dyDescent="0.25">
      <c r="B29" s="2">
        <v>9</v>
      </c>
      <c r="C29" s="120">
        <f>'IAT-1'!C34</f>
        <v>951323243009</v>
      </c>
      <c r="D29" s="121" t="str">
        <f>'IAT-1'!D34</f>
        <v>BALADHARSHINI S</v>
      </c>
      <c r="E29" s="273">
        <v>4</v>
      </c>
      <c r="F29" s="273">
        <v>4</v>
      </c>
      <c r="G29" s="273">
        <v>4</v>
      </c>
      <c r="H29" s="273">
        <v>4</v>
      </c>
      <c r="I29" s="273">
        <v>4</v>
      </c>
    </row>
    <row r="30" spans="2:19" x14ac:dyDescent="0.25">
      <c r="B30" s="2">
        <v>10</v>
      </c>
      <c r="C30" s="120">
        <f>'IAT-1'!C35</f>
        <v>951323243010</v>
      </c>
      <c r="D30" s="121" t="str">
        <f>'IAT-1'!D35</f>
        <v>BALASANKAR AYYAPPAN M</v>
      </c>
      <c r="E30" s="273">
        <v>3</v>
      </c>
      <c r="F30" s="273">
        <v>4</v>
      </c>
      <c r="G30" s="273">
        <v>4</v>
      </c>
      <c r="H30" s="273">
        <v>3</v>
      </c>
      <c r="I30" s="273">
        <v>4</v>
      </c>
    </row>
    <row r="31" spans="2:19" x14ac:dyDescent="0.25">
      <c r="B31" s="2">
        <v>11</v>
      </c>
      <c r="C31" s="120">
        <f>'IAT-1'!C36</f>
        <v>951323243011</v>
      </c>
      <c r="D31" s="121" t="str">
        <f>'IAT-1'!D36</f>
        <v>BALA SRI RAM G</v>
      </c>
      <c r="E31" s="273">
        <v>3</v>
      </c>
      <c r="F31" s="273">
        <v>2</v>
      </c>
      <c r="G31" s="273">
        <v>4</v>
      </c>
      <c r="H31" s="273">
        <v>2</v>
      </c>
      <c r="I31" s="273">
        <v>4</v>
      </c>
    </row>
    <row r="32" spans="2:19" x14ac:dyDescent="0.25">
      <c r="B32" s="2">
        <v>12</v>
      </c>
      <c r="C32" s="120">
        <f>'IAT-1'!C37</f>
        <v>951323243012</v>
      </c>
      <c r="D32" s="121" t="str">
        <f>'IAT-1'!D37</f>
        <v>BENJAMINE FRANKLIN C</v>
      </c>
      <c r="E32" s="273">
        <v>3</v>
      </c>
      <c r="F32" s="273">
        <v>4</v>
      </c>
      <c r="G32" s="273">
        <v>3</v>
      </c>
      <c r="H32" s="273">
        <v>3</v>
      </c>
      <c r="I32" s="273">
        <v>4</v>
      </c>
      <c r="J32" s="5"/>
      <c r="K32" s="5"/>
      <c r="L32" s="5"/>
      <c r="M32" s="5"/>
      <c r="N32" s="5"/>
      <c r="O32" s="5"/>
      <c r="P32" s="5"/>
      <c r="Q32" s="5"/>
      <c r="R32" s="5"/>
      <c r="S32" s="5"/>
    </row>
    <row r="33" spans="2:19" x14ac:dyDescent="0.25">
      <c r="B33" s="2">
        <v>13</v>
      </c>
      <c r="C33" s="120">
        <f>'IAT-1'!C38</f>
        <v>951323243013</v>
      </c>
      <c r="D33" s="121" t="str">
        <f>'IAT-1'!D38</f>
        <v>CATHRINE R</v>
      </c>
      <c r="E33" s="273">
        <v>4</v>
      </c>
      <c r="F33" s="273">
        <v>4</v>
      </c>
      <c r="G33" s="273">
        <v>3</v>
      </c>
      <c r="H33" s="273">
        <v>3</v>
      </c>
      <c r="I33" s="273">
        <v>4</v>
      </c>
      <c r="J33" s="5"/>
      <c r="K33" s="5"/>
      <c r="L33" s="5"/>
      <c r="M33" s="5"/>
      <c r="N33" s="5"/>
      <c r="O33" s="5"/>
      <c r="P33" s="5"/>
      <c r="Q33" s="5"/>
      <c r="R33" s="5"/>
      <c r="S33" s="5"/>
    </row>
    <row r="34" spans="2:19" x14ac:dyDescent="0.25">
      <c r="B34" s="2">
        <v>14</v>
      </c>
      <c r="C34" s="120">
        <f>'IAT-1'!C39</f>
        <v>951323243014</v>
      </c>
      <c r="D34" s="121" t="str">
        <f>'IAT-1'!D39</f>
        <v>CHENGALESWARI K</v>
      </c>
      <c r="E34" s="273">
        <v>3</v>
      </c>
      <c r="F34" s="273">
        <v>4</v>
      </c>
      <c r="G34" s="273">
        <v>3</v>
      </c>
      <c r="H34" s="273">
        <v>4</v>
      </c>
      <c r="I34" s="273">
        <v>3</v>
      </c>
      <c r="J34" s="5"/>
      <c r="K34" s="5"/>
      <c r="L34" s="5"/>
      <c r="M34" s="5"/>
      <c r="N34" s="5"/>
      <c r="O34" s="5"/>
      <c r="P34" s="5"/>
      <c r="Q34" s="5"/>
      <c r="R34" s="5"/>
      <c r="S34" s="5"/>
    </row>
    <row r="35" spans="2:19" x14ac:dyDescent="0.25">
      <c r="B35" s="2">
        <v>15</v>
      </c>
      <c r="C35" s="120">
        <f>'IAT-1'!C40</f>
        <v>951323243015</v>
      </c>
      <c r="D35" s="121" t="str">
        <f>'IAT-1'!D40</f>
        <v>DEVI L</v>
      </c>
      <c r="E35" s="273">
        <v>4</v>
      </c>
      <c r="F35" s="273">
        <v>4</v>
      </c>
      <c r="G35" s="273">
        <v>4</v>
      </c>
      <c r="H35" s="273">
        <v>4</v>
      </c>
      <c r="I35" s="273">
        <v>4</v>
      </c>
      <c r="J35" s="5"/>
      <c r="K35" s="5"/>
      <c r="L35" s="5"/>
      <c r="M35" s="5"/>
      <c r="N35" s="5"/>
      <c r="O35" s="5"/>
      <c r="P35" s="5"/>
      <c r="Q35" s="5"/>
      <c r="R35" s="5"/>
      <c r="S35" s="5"/>
    </row>
    <row r="36" spans="2:19" ht="15.75" customHeight="1" x14ac:dyDescent="0.25">
      <c r="B36" s="2">
        <v>16</v>
      </c>
      <c r="C36" s="120">
        <f>'IAT-1'!C41</f>
        <v>951323243016</v>
      </c>
      <c r="D36" s="121" t="str">
        <f>'IAT-1'!D41</f>
        <v>DHARUN S</v>
      </c>
      <c r="E36" s="273">
        <v>3</v>
      </c>
      <c r="F36" s="273">
        <v>3</v>
      </c>
      <c r="G36" s="273">
        <v>4</v>
      </c>
      <c r="H36" s="273">
        <v>4</v>
      </c>
      <c r="I36" s="273">
        <v>3</v>
      </c>
      <c r="J36" s="5"/>
      <c r="K36" s="5"/>
      <c r="L36" s="5"/>
      <c r="M36" s="5"/>
      <c r="N36" s="5"/>
      <c r="O36" s="5"/>
      <c r="P36" s="5"/>
      <c r="Q36" s="5"/>
      <c r="R36" s="5"/>
      <c r="S36" s="5"/>
    </row>
    <row r="37" spans="2:19" x14ac:dyDescent="0.25">
      <c r="B37" s="2">
        <v>17</v>
      </c>
      <c r="C37" s="120">
        <f>'IAT-1'!C42</f>
        <v>951323243017</v>
      </c>
      <c r="D37" s="121" t="str">
        <f>'IAT-1'!D42</f>
        <v>EAKANTHALINGAM R</v>
      </c>
      <c r="E37" s="273">
        <v>3</v>
      </c>
      <c r="F37" s="273">
        <v>3</v>
      </c>
      <c r="G37" s="273">
        <v>3</v>
      </c>
      <c r="H37" s="273">
        <v>3</v>
      </c>
      <c r="I37" s="273">
        <v>3</v>
      </c>
      <c r="J37" s="5"/>
      <c r="K37" s="5"/>
      <c r="L37" s="5"/>
      <c r="M37" s="5"/>
      <c r="N37" s="5"/>
      <c r="O37" s="5"/>
      <c r="P37" s="5"/>
      <c r="Q37" s="5"/>
      <c r="R37" s="5"/>
      <c r="S37" s="5"/>
    </row>
    <row r="38" spans="2:19" x14ac:dyDescent="0.25">
      <c r="B38" s="2">
        <v>18</v>
      </c>
      <c r="C38" s="120">
        <f>'IAT-1'!C43</f>
        <v>951323243018</v>
      </c>
      <c r="D38" s="121" t="str">
        <f>'IAT-1'!D43</f>
        <v>EFRIN THANASEKARAN J</v>
      </c>
      <c r="E38" s="273">
        <v>4</v>
      </c>
      <c r="F38" s="273">
        <v>4</v>
      </c>
      <c r="G38" s="273">
        <v>4</v>
      </c>
      <c r="H38" s="273">
        <v>3</v>
      </c>
      <c r="I38" s="273">
        <v>3</v>
      </c>
      <c r="J38" s="5"/>
      <c r="K38" s="5"/>
      <c r="L38" s="5"/>
      <c r="M38" s="5"/>
      <c r="N38" s="5"/>
      <c r="O38" s="5"/>
      <c r="P38" s="5"/>
      <c r="Q38" s="5"/>
      <c r="R38" s="5"/>
      <c r="S38" s="5"/>
    </row>
    <row r="39" spans="2:19" x14ac:dyDescent="0.25">
      <c r="B39" s="2">
        <v>19</v>
      </c>
      <c r="C39" s="120">
        <f>'IAT-1'!C44</f>
        <v>951323243019</v>
      </c>
      <c r="D39" s="121" t="str">
        <f>'IAT-1'!D44</f>
        <v>GAYATHRI M</v>
      </c>
      <c r="E39" s="273">
        <v>4</v>
      </c>
      <c r="F39" s="273">
        <v>4</v>
      </c>
      <c r="G39" s="273">
        <v>4</v>
      </c>
      <c r="H39" s="273">
        <v>4</v>
      </c>
      <c r="I39" s="273">
        <v>3</v>
      </c>
      <c r="J39" s="5"/>
      <c r="K39" s="5"/>
      <c r="L39" s="5"/>
      <c r="M39" s="5"/>
      <c r="N39" s="5"/>
      <c r="O39" s="5"/>
      <c r="P39" s="5"/>
      <c r="Q39" s="5"/>
      <c r="R39" s="5"/>
      <c r="S39" s="5"/>
    </row>
    <row r="40" spans="2:19" x14ac:dyDescent="0.25">
      <c r="B40" s="2">
        <v>20</v>
      </c>
      <c r="C40" s="120">
        <f>'IAT-1'!C45</f>
        <v>951323243020</v>
      </c>
      <c r="D40" s="121" t="str">
        <f>'IAT-1'!D45</f>
        <v>GOKILA G</v>
      </c>
      <c r="E40" s="273">
        <v>4</v>
      </c>
      <c r="F40" s="273">
        <v>4</v>
      </c>
      <c r="G40" s="273">
        <v>3</v>
      </c>
      <c r="H40" s="273">
        <v>4</v>
      </c>
      <c r="I40" s="273">
        <v>4</v>
      </c>
      <c r="J40" s="5"/>
      <c r="K40" s="5"/>
      <c r="L40" s="5"/>
      <c r="M40" s="5"/>
      <c r="N40" s="5"/>
      <c r="O40" s="5"/>
      <c r="P40" s="5"/>
      <c r="Q40" s="5"/>
      <c r="R40" s="5"/>
      <c r="S40" s="5"/>
    </row>
    <row r="41" spans="2:19" x14ac:dyDescent="0.25">
      <c r="B41" s="2">
        <v>21</v>
      </c>
      <c r="C41" s="120">
        <f>'IAT-1'!C46</f>
        <v>951323243021</v>
      </c>
      <c r="D41" s="121" t="str">
        <f>'IAT-1'!D46</f>
        <v>GOWRI KRISHNAVENI N</v>
      </c>
      <c r="E41" s="273">
        <v>4</v>
      </c>
      <c r="F41" s="273">
        <v>4</v>
      </c>
      <c r="G41" s="273">
        <v>4</v>
      </c>
      <c r="H41" s="273">
        <v>4</v>
      </c>
      <c r="I41" s="273">
        <v>4</v>
      </c>
      <c r="J41" s="5"/>
      <c r="K41" s="5"/>
      <c r="L41" s="5"/>
      <c r="M41" s="5"/>
      <c r="N41" s="5"/>
      <c r="O41" s="5"/>
      <c r="P41" s="5"/>
      <c r="Q41" s="5"/>
      <c r="R41" s="5"/>
      <c r="S41" s="5"/>
    </row>
    <row r="42" spans="2:19" x14ac:dyDescent="0.25">
      <c r="B42" s="2">
        <v>22</v>
      </c>
      <c r="C42" s="120">
        <f>'IAT-1'!C47</f>
        <v>951323243022</v>
      </c>
      <c r="D42" s="121" t="str">
        <f>'IAT-1'!D47</f>
        <v>HEART BRIGHT MERCY S</v>
      </c>
      <c r="E42" s="273">
        <v>4</v>
      </c>
      <c r="F42" s="273">
        <v>3</v>
      </c>
      <c r="G42" s="273">
        <v>4</v>
      </c>
      <c r="H42" s="273">
        <v>4</v>
      </c>
      <c r="I42" s="273">
        <v>4</v>
      </c>
      <c r="J42" s="5"/>
      <c r="K42" s="5"/>
      <c r="L42" s="5"/>
      <c r="M42" s="5"/>
      <c r="N42" s="5"/>
      <c r="O42" s="5"/>
      <c r="P42" s="5"/>
      <c r="Q42" s="5"/>
      <c r="R42" s="5"/>
      <c r="S42" s="5"/>
    </row>
    <row r="43" spans="2:19" x14ac:dyDescent="0.25">
      <c r="B43" s="2">
        <v>23</v>
      </c>
      <c r="C43" s="120">
        <f>'IAT-1'!C48</f>
        <v>951323243023</v>
      </c>
      <c r="D43" s="121" t="str">
        <f>'IAT-1'!D48</f>
        <v>INFANT EBINESH R</v>
      </c>
      <c r="E43" s="273">
        <v>4</v>
      </c>
      <c r="F43" s="273">
        <v>4</v>
      </c>
      <c r="G43" s="273">
        <v>4</v>
      </c>
      <c r="H43" s="273">
        <v>4</v>
      </c>
      <c r="I43" s="273">
        <v>4</v>
      </c>
      <c r="J43" s="5"/>
      <c r="K43" s="5"/>
      <c r="L43" s="5"/>
      <c r="M43" s="5"/>
      <c r="N43" s="5"/>
      <c r="O43" s="5"/>
      <c r="P43" s="5"/>
      <c r="Q43" s="5"/>
      <c r="R43" s="5"/>
      <c r="S43" s="5"/>
    </row>
    <row r="44" spans="2:19" x14ac:dyDescent="0.25">
      <c r="B44" s="2">
        <v>24</v>
      </c>
      <c r="C44" s="120">
        <f>'IAT-1'!C49</f>
        <v>951323243024</v>
      </c>
      <c r="D44" s="121" t="str">
        <f>'IAT-1'!D49</f>
        <v>JAI SURYA N</v>
      </c>
      <c r="E44" s="273">
        <v>4</v>
      </c>
      <c r="F44" s="273">
        <v>4</v>
      </c>
      <c r="G44" s="273">
        <v>4</v>
      </c>
      <c r="H44" s="273">
        <v>4</v>
      </c>
      <c r="I44" s="273">
        <v>3</v>
      </c>
      <c r="J44" s="5"/>
      <c r="K44" s="5"/>
      <c r="L44" s="5"/>
      <c r="M44" s="5"/>
      <c r="N44" s="5"/>
      <c r="O44" s="5"/>
      <c r="P44" s="5"/>
      <c r="Q44" s="5"/>
      <c r="R44" s="5"/>
      <c r="S44" s="5"/>
    </row>
    <row r="45" spans="2:19" x14ac:dyDescent="0.25">
      <c r="B45" s="2">
        <v>25</v>
      </c>
      <c r="C45" s="120">
        <f>'IAT-1'!C50</f>
        <v>951323243025</v>
      </c>
      <c r="D45" s="121" t="str">
        <f>'IAT-1'!D50</f>
        <v>JANI ALICE THIRSA J</v>
      </c>
      <c r="E45" s="273">
        <v>4</v>
      </c>
      <c r="F45" s="273">
        <v>4</v>
      </c>
      <c r="G45" s="273">
        <v>4</v>
      </c>
      <c r="H45" s="273">
        <v>4</v>
      </c>
      <c r="I45" s="273">
        <v>4</v>
      </c>
      <c r="J45" s="5"/>
      <c r="K45" s="5"/>
      <c r="L45" s="5"/>
      <c r="M45" s="5"/>
      <c r="N45" s="5"/>
      <c r="O45" s="5"/>
      <c r="P45" s="5"/>
      <c r="Q45" s="5"/>
      <c r="R45" s="5"/>
      <c r="S45" s="5"/>
    </row>
    <row r="46" spans="2:19" x14ac:dyDescent="0.25">
      <c r="B46" s="2">
        <v>26</v>
      </c>
      <c r="C46" s="120">
        <f>'IAT-1'!C51</f>
        <v>951323243026</v>
      </c>
      <c r="D46" s="121" t="str">
        <f>'IAT-1'!D51</f>
        <v>JEBA A</v>
      </c>
      <c r="E46" s="273">
        <v>4</v>
      </c>
      <c r="F46" s="273">
        <v>4</v>
      </c>
      <c r="G46" s="273">
        <v>4</v>
      </c>
      <c r="H46" s="273">
        <v>4</v>
      </c>
      <c r="I46" s="273">
        <v>4</v>
      </c>
      <c r="J46" s="5"/>
      <c r="K46" s="5"/>
      <c r="L46" s="5"/>
      <c r="M46" s="5"/>
      <c r="N46" s="5"/>
      <c r="O46" s="5"/>
      <c r="P46" s="5"/>
      <c r="Q46" s="5"/>
      <c r="R46" s="5"/>
      <c r="S46" s="5"/>
    </row>
    <row r="47" spans="2:19" x14ac:dyDescent="0.25">
      <c r="B47" s="2">
        <v>27</v>
      </c>
      <c r="C47" s="120">
        <f>'IAT-1'!C52</f>
        <v>951323243027</v>
      </c>
      <c r="D47" s="121" t="str">
        <f>'IAT-1'!D52</f>
        <v>JENIFER E</v>
      </c>
      <c r="E47" s="273">
        <v>4</v>
      </c>
      <c r="F47" s="273">
        <v>4</v>
      </c>
      <c r="G47" s="273">
        <v>4</v>
      </c>
      <c r="H47" s="273">
        <v>4</v>
      </c>
      <c r="I47" s="273">
        <v>4</v>
      </c>
      <c r="J47" s="5"/>
      <c r="K47" s="5"/>
      <c r="L47" s="5"/>
      <c r="M47" s="5"/>
      <c r="N47" s="5"/>
      <c r="O47" s="5"/>
      <c r="P47" s="5"/>
      <c r="Q47" s="5"/>
      <c r="R47" s="5"/>
      <c r="S47" s="5"/>
    </row>
    <row r="48" spans="2:19" x14ac:dyDescent="0.25">
      <c r="B48" s="2">
        <v>28</v>
      </c>
      <c r="C48" s="120">
        <f>'IAT-1'!C53</f>
        <v>951323243028</v>
      </c>
      <c r="D48" s="121" t="str">
        <f>'IAT-1'!D53</f>
        <v>JENITTA CATHERIN R</v>
      </c>
      <c r="E48" s="273">
        <v>4</v>
      </c>
      <c r="F48" s="273">
        <v>4</v>
      </c>
      <c r="G48" s="273">
        <v>4</v>
      </c>
      <c r="H48" s="273">
        <v>4</v>
      </c>
      <c r="I48" s="273">
        <v>4</v>
      </c>
      <c r="J48" s="5"/>
      <c r="K48" s="5"/>
      <c r="L48" s="5"/>
      <c r="M48" s="5"/>
      <c r="N48" s="5"/>
      <c r="O48" s="5"/>
      <c r="P48" s="5"/>
      <c r="Q48" s="5"/>
      <c r="R48" s="5"/>
      <c r="S48" s="5"/>
    </row>
    <row r="49" spans="2:19" x14ac:dyDescent="0.25">
      <c r="B49" s="2">
        <v>29</v>
      </c>
      <c r="C49" s="120">
        <f>'IAT-1'!C54</f>
        <v>951323243029</v>
      </c>
      <c r="D49" s="121" t="str">
        <f>'IAT-1'!D54</f>
        <v>JEYACHITHRA K</v>
      </c>
      <c r="E49" s="273">
        <v>4</v>
      </c>
      <c r="F49" s="273">
        <v>4</v>
      </c>
      <c r="G49" s="273">
        <v>4</v>
      </c>
      <c r="H49" s="273">
        <v>4</v>
      </c>
      <c r="I49" s="273">
        <v>4</v>
      </c>
      <c r="J49" s="5"/>
      <c r="K49" s="5"/>
      <c r="L49" s="5"/>
      <c r="M49" s="5"/>
      <c r="N49" s="5"/>
      <c r="O49" s="5"/>
      <c r="P49" s="5"/>
      <c r="Q49" s="5"/>
      <c r="R49" s="5"/>
      <c r="S49" s="5"/>
    </row>
    <row r="50" spans="2:19" x14ac:dyDescent="0.25">
      <c r="B50" s="2">
        <v>30</v>
      </c>
      <c r="C50" s="120">
        <f>'IAT-1'!C55</f>
        <v>951323243030</v>
      </c>
      <c r="D50" s="121" t="str">
        <f>'IAT-1'!D55</f>
        <v>JOSVA PRINCE R</v>
      </c>
      <c r="E50" s="273">
        <v>3</v>
      </c>
      <c r="F50" s="273">
        <v>3</v>
      </c>
      <c r="G50" s="273">
        <v>3</v>
      </c>
      <c r="H50" s="273">
        <v>4</v>
      </c>
      <c r="I50" s="273">
        <v>4</v>
      </c>
      <c r="J50" s="5"/>
      <c r="K50" s="5"/>
      <c r="L50" s="5"/>
      <c r="M50" s="5"/>
      <c r="N50" s="5"/>
      <c r="O50" s="5"/>
      <c r="P50" s="5"/>
      <c r="Q50" s="5"/>
      <c r="R50" s="5"/>
      <c r="S50" s="5"/>
    </row>
    <row r="51" spans="2:19" x14ac:dyDescent="0.25">
      <c r="B51" s="2">
        <v>31</v>
      </c>
      <c r="C51" s="120">
        <f>'IAT-1'!C56</f>
        <v>951323243031</v>
      </c>
      <c r="D51" s="121" t="str">
        <f>'IAT-1'!D56</f>
        <v>KALAI SELVAN VINOTH P</v>
      </c>
      <c r="E51" s="273">
        <v>4</v>
      </c>
      <c r="F51" s="273">
        <v>4</v>
      </c>
      <c r="G51" s="273">
        <v>4</v>
      </c>
      <c r="H51" s="273">
        <v>4</v>
      </c>
      <c r="I51" s="273">
        <v>4</v>
      </c>
      <c r="J51" s="5"/>
      <c r="K51" s="5"/>
      <c r="L51" s="5"/>
      <c r="M51" s="5"/>
      <c r="N51" s="5"/>
      <c r="O51" s="5"/>
      <c r="P51" s="5"/>
      <c r="Q51" s="5"/>
      <c r="R51" s="5"/>
      <c r="S51" s="5"/>
    </row>
    <row r="52" spans="2:19" x14ac:dyDescent="0.25">
      <c r="B52" s="2">
        <v>32</v>
      </c>
      <c r="C52" s="120">
        <f>'IAT-1'!C57</f>
        <v>951323243032</v>
      </c>
      <c r="D52" s="121" t="str">
        <f>'IAT-1'!D57</f>
        <v>LAKSHMANAN SARATHI S</v>
      </c>
      <c r="E52" s="273">
        <v>4</v>
      </c>
      <c r="F52" s="273">
        <v>4</v>
      </c>
      <c r="G52" s="273">
        <v>4</v>
      </c>
      <c r="H52" s="273">
        <v>4</v>
      </c>
      <c r="I52" s="273">
        <v>4</v>
      </c>
      <c r="J52" s="5"/>
      <c r="K52" s="5"/>
      <c r="L52" s="5"/>
      <c r="M52" s="5"/>
      <c r="N52" s="5"/>
      <c r="O52" s="5"/>
      <c r="P52" s="5"/>
      <c r="Q52" s="5"/>
      <c r="R52" s="5"/>
      <c r="S52" s="5"/>
    </row>
    <row r="53" spans="2:19" x14ac:dyDescent="0.25">
      <c r="B53" s="2">
        <v>33</v>
      </c>
      <c r="C53" s="120">
        <f>'IAT-1'!C58</f>
        <v>951323243033</v>
      </c>
      <c r="D53" s="121" t="str">
        <f>'IAT-1'!D58</f>
        <v>LIJO DURAISINGH V S</v>
      </c>
      <c r="E53" s="273">
        <v>4</v>
      </c>
      <c r="F53" s="273">
        <v>4</v>
      </c>
      <c r="G53" s="273">
        <v>4</v>
      </c>
      <c r="H53" s="273">
        <v>4</v>
      </c>
      <c r="I53" s="273">
        <v>4</v>
      </c>
      <c r="J53" s="5"/>
      <c r="K53" s="5"/>
      <c r="L53" s="5"/>
      <c r="M53" s="5"/>
      <c r="N53" s="5"/>
      <c r="O53" s="5"/>
      <c r="P53" s="5"/>
      <c r="Q53" s="5"/>
      <c r="R53" s="5"/>
      <c r="S53" s="5"/>
    </row>
    <row r="54" spans="2:19" x14ac:dyDescent="0.25">
      <c r="B54" s="2">
        <v>34</v>
      </c>
      <c r="C54" s="120">
        <f>'IAT-1'!C59</f>
        <v>951323243034</v>
      </c>
      <c r="D54" s="121" t="str">
        <f>'IAT-1'!D59</f>
        <v>LOVISAL JOY K</v>
      </c>
      <c r="E54" s="273">
        <v>4</v>
      </c>
      <c r="F54" s="273">
        <v>3</v>
      </c>
      <c r="G54" s="273">
        <v>4</v>
      </c>
      <c r="H54" s="273">
        <v>3</v>
      </c>
      <c r="I54" s="273">
        <v>4</v>
      </c>
      <c r="J54" s="5"/>
      <c r="K54" s="5"/>
      <c r="L54" s="5"/>
      <c r="M54" s="5"/>
      <c r="N54" s="5"/>
      <c r="O54" s="5"/>
      <c r="P54" s="5"/>
      <c r="Q54" s="5"/>
      <c r="R54" s="5"/>
      <c r="S54" s="5"/>
    </row>
    <row r="55" spans="2:19" x14ac:dyDescent="0.25">
      <c r="B55" s="2">
        <v>35</v>
      </c>
      <c r="C55" s="120">
        <f>'IAT-1'!C60</f>
        <v>951323243035</v>
      </c>
      <c r="D55" s="121" t="str">
        <f>'IAT-1'!D60</f>
        <v>MAGESH GOWRI S</v>
      </c>
      <c r="E55" s="273">
        <v>4</v>
      </c>
      <c r="F55" s="273">
        <v>4</v>
      </c>
      <c r="G55" s="273">
        <v>4</v>
      </c>
      <c r="H55" s="273">
        <v>4</v>
      </c>
      <c r="I55" s="273">
        <v>3</v>
      </c>
      <c r="J55" s="5"/>
      <c r="K55" s="5"/>
      <c r="L55" s="5"/>
      <c r="M55" s="5"/>
      <c r="N55" s="5"/>
      <c r="O55" s="5"/>
      <c r="P55" s="5"/>
      <c r="Q55" s="5"/>
      <c r="R55" s="5"/>
      <c r="S55" s="5"/>
    </row>
    <row r="56" spans="2:19" x14ac:dyDescent="0.25">
      <c r="B56" s="2">
        <v>36</v>
      </c>
      <c r="C56" s="120">
        <f>'IAT-1'!C61</f>
        <v>951323243036</v>
      </c>
      <c r="D56" s="121" t="str">
        <f>'IAT-1'!D61</f>
        <v>MARIMUTHU S</v>
      </c>
      <c r="E56" s="273">
        <v>4</v>
      </c>
      <c r="F56" s="273">
        <v>4</v>
      </c>
      <c r="G56" s="273">
        <v>4</v>
      </c>
      <c r="H56" s="273">
        <v>4</v>
      </c>
      <c r="I56" s="273">
        <v>4</v>
      </c>
      <c r="J56" s="5"/>
      <c r="K56" s="5"/>
      <c r="L56" s="5"/>
      <c r="M56" s="5"/>
      <c r="N56" s="5"/>
      <c r="O56" s="5"/>
      <c r="P56" s="5"/>
      <c r="Q56" s="5"/>
      <c r="R56" s="5"/>
      <c r="S56" s="5"/>
    </row>
    <row r="57" spans="2:19" x14ac:dyDescent="0.25">
      <c r="B57" s="2">
        <v>37</v>
      </c>
      <c r="C57" s="120">
        <f>'IAT-1'!C62</f>
        <v>951323243037</v>
      </c>
      <c r="D57" s="121" t="str">
        <f>'IAT-1'!D62</f>
        <v>MARIYA FATHIMA JEYARANI R</v>
      </c>
      <c r="E57" s="273">
        <v>4</v>
      </c>
      <c r="F57" s="273">
        <v>4</v>
      </c>
      <c r="G57" s="273">
        <v>4</v>
      </c>
      <c r="H57" s="273">
        <v>4</v>
      </c>
      <c r="I57" s="273">
        <v>4</v>
      </c>
      <c r="J57" s="5"/>
      <c r="K57" s="5"/>
      <c r="L57" s="5"/>
      <c r="M57" s="5"/>
      <c r="N57" s="5"/>
      <c r="O57" s="5"/>
      <c r="P57" s="5"/>
      <c r="Q57" s="5"/>
      <c r="R57" s="5"/>
      <c r="S57" s="5"/>
    </row>
    <row r="58" spans="2:19" x14ac:dyDescent="0.25">
      <c r="B58" s="2">
        <v>38</v>
      </c>
      <c r="C58" s="120">
        <f>'IAT-1'!C63</f>
        <v>951323243038</v>
      </c>
      <c r="D58" s="121" t="str">
        <f>'IAT-1'!D63</f>
        <v>MARTIN PRISCA D</v>
      </c>
      <c r="E58" s="273">
        <v>4</v>
      </c>
      <c r="F58" s="273">
        <v>4</v>
      </c>
      <c r="G58" s="273">
        <v>4</v>
      </c>
      <c r="H58" s="273">
        <v>4</v>
      </c>
      <c r="I58" s="273">
        <v>4</v>
      </c>
      <c r="J58" s="5"/>
      <c r="K58" s="5"/>
      <c r="L58" s="5"/>
      <c r="M58" s="5"/>
      <c r="N58" s="5"/>
      <c r="O58" s="5"/>
      <c r="P58" s="5"/>
      <c r="Q58" s="5"/>
      <c r="R58" s="5"/>
      <c r="S58" s="5"/>
    </row>
    <row r="59" spans="2:19" x14ac:dyDescent="0.25">
      <c r="B59" s="2">
        <v>39</v>
      </c>
      <c r="C59" s="120">
        <f>'IAT-1'!C64</f>
        <v>951323243039</v>
      </c>
      <c r="D59" s="121" t="str">
        <f>'IAT-1'!D64</f>
        <v>MERLIN HEPSIBA K</v>
      </c>
      <c r="E59" s="273">
        <v>4</v>
      </c>
      <c r="F59" s="273">
        <v>3</v>
      </c>
      <c r="G59" s="273">
        <v>4</v>
      </c>
      <c r="H59" s="273">
        <v>4</v>
      </c>
      <c r="I59" s="273">
        <v>4</v>
      </c>
      <c r="J59" s="5"/>
      <c r="K59" s="5"/>
      <c r="L59" s="5"/>
      <c r="M59" s="5"/>
      <c r="N59" s="5"/>
      <c r="O59" s="5"/>
      <c r="P59" s="5"/>
      <c r="Q59" s="5"/>
      <c r="R59" s="5"/>
      <c r="S59" s="5"/>
    </row>
    <row r="60" spans="2:19" x14ac:dyDescent="0.25">
      <c r="B60" s="2">
        <v>41</v>
      </c>
      <c r="C60" s="120">
        <f>'IAT-1'!C65</f>
        <v>951323243042</v>
      </c>
      <c r="D60" s="121" t="str">
        <f>'IAT-1'!D65</f>
        <v>MUTHUPRASANNA M</v>
      </c>
      <c r="E60" s="273">
        <v>4</v>
      </c>
      <c r="F60" s="273">
        <v>4</v>
      </c>
      <c r="G60" s="273">
        <v>3</v>
      </c>
      <c r="H60" s="273">
        <v>3</v>
      </c>
      <c r="I60" s="273">
        <v>4</v>
      </c>
      <c r="J60" s="5"/>
      <c r="K60" s="5"/>
      <c r="L60" s="5"/>
      <c r="M60" s="5"/>
      <c r="N60" s="5"/>
      <c r="O60" s="5"/>
      <c r="P60" s="5"/>
      <c r="Q60" s="5"/>
      <c r="R60" s="5"/>
      <c r="S60" s="5"/>
    </row>
    <row r="61" spans="2:19" x14ac:dyDescent="0.25">
      <c r="B61" s="2">
        <v>42</v>
      </c>
      <c r="C61" s="120">
        <f>'IAT-1'!C66</f>
        <v>951323243043</v>
      </c>
      <c r="D61" s="121" t="str">
        <f>'IAT-1'!D66</f>
        <v>MUTHURAJ M</v>
      </c>
      <c r="E61" s="273">
        <v>4</v>
      </c>
      <c r="F61" s="273">
        <v>4</v>
      </c>
      <c r="G61" s="273">
        <v>4</v>
      </c>
      <c r="H61" s="273">
        <v>4</v>
      </c>
      <c r="I61" s="273">
        <v>4</v>
      </c>
      <c r="J61" s="5"/>
      <c r="K61" s="5"/>
      <c r="L61" s="5"/>
      <c r="M61" s="5"/>
      <c r="N61" s="5"/>
      <c r="O61" s="5"/>
      <c r="P61" s="5"/>
      <c r="Q61" s="5"/>
      <c r="R61" s="5"/>
      <c r="S61" s="5"/>
    </row>
    <row r="62" spans="2:19" x14ac:dyDescent="0.25">
      <c r="B62" s="2">
        <v>44</v>
      </c>
      <c r="C62" s="120">
        <f>'IAT-1'!C67</f>
        <v>951323243045</v>
      </c>
      <c r="D62" s="121" t="str">
        <f>'IAT-1'!D67</f>
        <v>PONKEERTHANA B</v>
      </c>
      <c r="E62" s="273">
        <v>4</v>
      </c>
      <c r="F62" s="273">
        <v>4</v>
      </c>
      <c r="G62" s="273">
        <v>4</v>
      </c>
      <c r="H62" s="273">
        <v>4</v>
      </c>
      <c r="I62" s="273">
        <v>4</v>
      </c>
      <c r="J62" s="5"/>
      <c r="K62" s="5"/>
      <c r="L62" s="5"/>
      <c r="M62" s="5"/>
      <c r="N62" s="5"/>
      <c r="O62" s="5"/>
      <c r="P62" s="5"/>
      <c r="Q62" s="5"/>
      <c r="R62" s="5"/>
      <c r="S62" s="5"/>
    </row>
    <row r="63" spans="2:19" x14ac:dyDescent="0.25">
      <c r="B63" s="2">
        <v>45</v>
      </c>
      <c r="C63" s="120">
        <f>'IAT-1'!C68</f>
        <v>951323243046</v>
      </c>
      <c r="D63" s="121" t="str">
        <f>'IAT-1'!D68</f>
        <v>POORANATRIFFIE P</v>
      </c>
      <c r="E63" s="273">
        <v>4</v>
      </c>
      <c r="F63" s="273">
        <v>4</v>
      </c>
      <c r="G63" s="273">
        <v>4</v>
      </c>
      <c r="H63" s="273">
        <v>4</v>
      </c>
      <c r="I63" s="273">
        <v>4</v>
      </c>
      <c r="J63" s="5"/>
      <c r="K63" s="5"/>
      <c r="L63" s="5"/>
      <c r="M63" s="5"/>
      <c r="N63" s="5"/>
      <c r="O63" s="5"/>
      <c r="P63" s="5"/>
      <c r="Q63" s="5"/>
      <c r="R63" s="5"/>
      <c r="S63" s="5"/>
    </row>
    <row r="64" spans="2:19" x14ac:dyDescent="0.25">
      <c r="B64" s="2">
        <v>46</v>
      </c>
      <c r="C64" s="120">
        <f>'IAT-1'!C69</f>
        <v>951323243047</v>
      </c>
      <c r="D64" s="121" t="str">
        <f>'IAT-1'!D69</f>
        <v>RACKLAND T</v>
      </c>
      <c r="E64" s="273">
        <v>4</v>
      </c>
      <c r="F64" s="273">
        <v>3</v>
      </c>
      <c r="G64" s="273">
        <v>4</v>
      </c>
      <c r="H64" s="273">
        <v>3</v>
      </c>
      <c r="I64" s="273">
        <v>4</v>
      </c>
      <c r="J64" s="5"/>
      <c r="K64" s="5"/>
      <c r="L64" s="5"/>
      <c r="M64" s="5"/>
      <c r="N64" s="5"/>
      <c r="O64" s="5"/>
      <c r="P64" s="5"/>
      <c r="Q64" s="5"/>
      <c r="R64" s="5"/>
      <c r="S64" s="5"/>
    </row>
    <row r="65" spans="1:19" x14ac:dyDescent="0.25">
      <c r="B65" s="2">
        <v>47</v>
      </c>
      <c r="C65" s="120">
        <f>'IAT-1'!C70</f>
        <v>951323243048</v>
      </c>
      <c r="D65" s="121" t="str">
        <f>'IAT-1'!D70</f>
        <v>RAJA SUNDAR K</v>
      </c>
      <c r="E65" s="273">
        <v>4</v>
      </c>
      <c r="F65" s="273">
        <v>4</v>
      </c>
      <c r="G65" s="273">
        <v>4</v>
      </c>
      <c r="H65" s="273">
        <v>4</v>
      </c>
      <c r="I65" s="273">
        <v>4</v>
      </c>
      <c r="J65" s="5"/>
      <c r="K65" s="5"/>
      <c r="L65" s="5"/>
      <c r="M65" s="5"/>
      <c r="N65" s="5"/>
      <c r="O65" s="5"/>
      <c r="P65" s="5"/>
      <c r="Q65" s="5"/>
      <c r="R65" s="5"/>
      <c r="S65" s="5"/>
    </row>
    <row r="66" spans="1:19" x14ac:dyDescent="0.25">
      <c r="B66" s="2">
        <v>48</v>
      </c>
      <c r="C66" s="120">
        <f>'IAT-1'!C71</f>
        <v>951323243049</v>
      </c>
      <c r="D66" s="121" t="str">
        <f>'IAT-1'!D71</f>
        <v>RAMALINGAM B</v>
      </c>
      <c r="E66" s="273">
        <v>4</v>
      </c>
      <c r="F66" s="273">
        <v>4</v>
      </c>
      <c r="G66" s="273">
        <v>4</v>
      </c>
      <c r="H66" s="273">
        <v>4</v>
      </c>
      <c r="I66" s="273">
        <v>4</v>
      </c>
      <c r="J66" s="5"/>
      <c r="K66" s="5"/>
      <c r="L66" s="5"/>
      <c r="M66" s="5"/>
      <c r="N66" s="5"/>
      <c r="O66" s="5"/>
      <c r="P66" s="5"/>
      <c r="Q66" s="5"/>
      <c r="R66" s="5"/>
      <c r="S66" s="5"/>
    </row>
    <row r="67" spans="1:19" x14ac:dyDescent="0.25">
      <c r="B67" s="2">
        <v>49</v>
      </c>
      <c r="C67" s="120">
        <f>'IAT-1'!C72</f>
        <v>951323243050</v>
      </c>
      <c r="D67" s="121" t="str">
        <f>'IAT-1'!D72</f>
        <v>SELVAM GRACELIN S</v>
      </c>
      <c r="E67" s="273">
        <v>4</v>
      </c>
      <c r="F67" s="273">
        <v>4</v>
      </c>
      <c r="G67" s="273">
        <v>4</v>
      </c>
      <c r="H67" s="273">
        <v>4</v>
      </c>
      <c r="I67" s="273">
        <v>4</v>
      </c>
      <c r="J67" s="5"/>
      <c r="K67" s="5"/>
      <c r="L67" s="5"/>
      <c r="M67" s="5"/>
      <c r="N67" s="5"/>
      <c r="O67" s="5"/>
      <c r="P67" s="5"/>
      <c r="Q67" s="5"/>
      <c r="R67" s="5"/>
      <c r="S67" s="5"/>
    </row>
    <row r="68" spans="1:19" x14ac:dyDescent="0.25">
      <c r="B68" s="2">
        <v>50</v>
      </c>
      <c r="C68" s="120">
        <f>'IAT-1'!C73</f>
        <v>951323243051</v>
      </c>
      <c r="D68" s="121" t="str">
        <f>'IAT-1'!D73</f>
        <v>SHANKAR V</v>
      </c>
      <c r="E68" s="273">
        <v>4</v>
      </c>
      <c r="F68" s="273">
        <v>4</v>
      </c>
      <c r="G68" s="273">
        <v>4</v>
      </c>
      <c r="H68" s="273">
        <v>4</v>
      </c>
      <c r="I68" s="273">
        <v>4</v>
      </c>
      <c r="J68" s="5"/>
      <c r="K68" s="5"/>
      <c r="L68" s="5"/>
      <c r="M68" s="5"/>
      <c r="N68" s="5"/>
      <c r="O68" s="5"/>
      <c r="P68" s="5"/>
      <c r="Q68" s="5"/>
      <c r="R68" s="5"/>
      <c r="S68" s="5"/>
    </row>
    <row r="69" spans="1:19" x14ac:dyDescent="0.25">
      <c r="B69" s="2">
        <v>51</v>
      </c>
      <c r="C69" s="120">
        <f>'IAT-1'!C74</f>
        <v>951323243052</v>
      </c>
      <c r="D69" s="121" t="str">
        <f>'IAT-1'!D74</f>
        <v>SINDHUJA RAJASUMANA R</v>
      </c>
      <c r="E69" s="273">
        <v>4</v>
      </c>
      <c r="F69" s="273">
        <v>4</v>
      </c>
      <c r="G69" s="273">
        <v>4</v>
      </c>
      <c r="H69" s="273">
        <v>4</v>
      </c>
      <c r="I69" s="273">
        <v>4</v>
      </c>
      <c r="J69" s="5"/>
      <c r="K69" s="74"/>
      <c r="L69" s="5"/>
      <c r="M69" s="5"/>
      <c r="N69" s="5"/>
      <c r="O69" s="5"/>
      <c r="P69" s="5"/>
      <c r="Q69" s="5"/>
      <c r="R69" s="5"/>
      <c r="S69" s="5"/>
    </row>
    <row r="70" spans="1:19" x14ac:dyDescent="0.25">
      <c r="B70" s="2">
        <v>52</v>
      </c>
      <c r="C70" s="120">
        <f>'IAT-1'!C75</f>
        <v>951323243053</v>
      </c>
      <c r="D70" s="121" t="str">
        <f>'IAT-1'!D75</f>
        <v>SNEGA G</v>
      </c>
      <c r="E70" s="273">
        <v>4</v>
      </c>
      <c r="F70" s="273">
        <v>4</v>
      </c>
      <c r="G70" s="273">
        <v>4</v>
      </c>
      <c r="H70" s="273">
        <v>3</v>
      </c>
      <c r="I70" s="273">
        <v>3</v>
      </c>
      <c r="J70" s="5"/>
      <c r="K70" s="74"/>
      <c r="L70" s="5"/>
      <c r="M70" s="5"/>
      <c r="N70" s="5"/>
      <c r="O70" s="5"/>
      <c r="P70" s="5"/>
      <c r="Q70" s="5"/>
      <c r="R70" s="5"/>
      <c r="S70" s="5"/>
    </row>
    <row r="71" spans="1:19" x14ac:dyDescent="0.25">
      <c r="B71" s="2">
        <v>53</v>
      </c>
      <c r="C71" s="120">
        <f>'IAT-1'!C76</f>
        <v>951323243054</v>
      </c>
      <c r="D71" s="121" t="str">
        <f>'IAT-1'!D76</f>
        <v>SUBRAMANIAN V</v>
      </c>
      <c r="E71" s="273">
        <v>3</v>
      </c>
      <c r="F71" s="273">
        <v>3</v>
      </c>
      <c r="G71" s="273">
        <v>3</v>
      </c>
      <c r="H71" s="273">
        <v>4</v>
      </c>
      <c r="I71" s="273">
        <v>4</v>
      </c>
      <c r="J71" s="5"/>
      <c r="K71" s="74"/>
      <c r="L71" s="5"/>
      <c r="M71" s="5"/>
      <c r="N71" s="5"/>
      <c r="O71" s="5"/>
      <c r="P71" s="5"/>
      <c r="Q71" s="5"/>
      <c r="R71" s="5"/>
      <c r="S71" s="5"/>
    </row>
    <row r="72" spans="1:19" x14ac:dyDescent="0.25">
      <c r="B72" s="2">
        <v>54</v>
      </c>
      <c r="C72" s="120">
        <f>'IAT-1'!C77</f>
        <v>951323243055</v>
      </c>
      <c r="D72" s="121" t="str">
        <f>'IAT-1'!D77</f>
        <v>SUGAN RAJ H</v>
      </c>
      <c r="E72" s="273">
        <v>4</v>
      </c>
      <c r="F72" s="273">
        <v>4</v>
      </c>
      <c r="G72" s="273">
        <v>3</v>
      </c>
      <c r="H72" s="273">
        <v>4</v>
      </c>
      <c r="I72" s="273">
        <v>4</v>
      </c>
      <c r="J72" s="5"/>
      <c r="K72" s="74"/>
      <c r="L72" s="5"/>
      <c r="M72" s="5"/>
      <c r="N72" s="5"/>
      <c r="O72" s="5"/>
      <c r="P72" s="5"/>
      <c r="Q72" s="5"/>
      <c r="R72" s="5"/>
      <c r="S72" s="5"/>
    </row>
    <row r="73" spans="1:19" x14ac:dyDescent="0.25">
      <c r="B73" s="2">
        <v>55</v>
      </c>
      <c r="C73" s="120">
        <f>'IAT-1'!C78</f>
        <v>951323243056</v>
      </c>
      <c r="D73" s="121" t="str">
        <f>'IAT-1'!D78</f>
        <v>THOMAS KOILRAJ J</v>
      </c>
      <c r="E73" s="273">
        <v>4</v>
      </c>
      <c r="F73" s="273">
        <v>4</v>
      </c>
      <c r="G73" s="273">
        <v>4</v>
      </c>
      <c r="H73" s="273">
        <v>4</v>
      </c>
      <c r="I73" s="273">
        <v>4</v>
      </c>
      <c r="J73" s="5"/>
      <c r="K73" s="74"/>
      <c r="L73" s="5"/>
      <c r="M73" s="5"/>
      <c r="N73" s="5"/>
      <c r="O73" s="5"/>
      <c r="P73" s="5"/>
      <c r="Q73" s="5"/>
      <c r="R73" s="5"/>
      <c r="S73" s="5"/>
    </row>
    <row r="74" spans="1:19" x14ac:dyDescent="0.25">
      <c r="B74" s="2">
        <v>56</v>
      </c>
      <c r="C74" s="120">
        <f>'IAT-1'!C79</f>
        <v>951323243057</v>
      </c>
      <c r="D74" s="121" t="str">
        <f>'IAT-1'!D79</f>
        <v>VANITHA L</v>
      </c>
      <c r="E74" s="273">
        <v>4</v>
      </c>
      <c r="F74" s="273">
        <v>4</v>
      </c>
      <c r="G74" s="273">
        <v>4</v>
      </c>
      <c r="H74" s="273">
        <v>4</v>
      </c>
      <c r="I74" s="273">
        <v>4</v>
      </c>
      <c r="J74" s="5"/>
      <c r="K74" s="74"/>
      <c r="L74" s="5"/>
      <c r="M74" s="5"/>
      <c r="N74" s="5"/>
      <c r="O74" s="5"/>
      <c r="P74" s="5"/>
      <c r="Q74" s="5"/>
      <c r="R74" s="5"/>
      <c r="S74" s="5"/>
    </row>
    <row r="75" spans="1:19" x14ac:dyDescent="0.25">
      <c r="B75" s="2">
        <v>57</v>
      </c>
      <c r="C75" s="120">
        <f>'IAT-1'!C80</f>
        <v>951323243058</v>
      </c>
      <c r="D75" s="121" t="str">
        <f>'IAT-1'!D80</f>
        <v>VICTOR ROBINSON</v>
      </c>
      <c r="E75" s="273">
        <v>4</v>
      </c>
      <c r="F75" s="273">
        <v>4</v>
      </c>
      <c r="G75" s="273">
        <v>4</v>
      </c>
      <c r="H75" s="273">
        <v>4</v>
      </c>
      <c r="I75" s="273">
        <v>4</v>
      </c>
      <c r="J75" s="5"/>
      <c r="K75" s="74"/>
      <c r="L75" s="5"/>
      <c r="M75" s="5"/>
      <c r="N75" s="5"/>
      <c r="O75" s="5"/>
      <c r="P75" s="5"/>
      <c r="Q75" s="5"/>
      <c r="R75" s="5"/>
      <c r="S75" s="5"/>
    </row>
    <row r="76" spans="1:19" x14ac:dyDescent="0.25">
      <c r="B76" s="2">
        <v>58</v>
      </c>
      <c r="C76" s="120">
        <f>'IAT-1'!C81</f>
        <v>951323243059</v>
      </c>
      <c r="D76" s="121" t="str">
        <f>'IAT-1'!D81</f>
        <v>VIJAYAPRAKASH S</v>
      </c>
      <c r="E76" s="273">
        <v>4</v>
      </c>
      <c r="F76" s="273">
        <v>4</v>
      </c>
      <c r="G76" s="273">
        <v>4</v>
      </c>
      <c r="H76" s="273">
        <v>4</v>
      </c>
      <c r="I76" s="273">
        <v>4</v>
      </c>
      <c r="J76" s="5"/>
      <c r="K76" s="74"/>
      <c r="L76" s="5"/>
      <c r="M76" s="5"/>
      <c r="N76" s="5"/>
      <c r="O76" s="5"/>
      <c r="P76" s="5"/>
      <c r="Q76" s="5"/>
      <c r="R76" s="5"/>
      <c r="S76" s="5"/>
    </row>
    <row r="77" spans="1:19" x14ac:dyDescent="0.25">
      <c r="B77" s="2">
        <v>59</v>
      </c>
      <c r="C77" s="120">
        <f>'IAT-1'!C82</f>
        <v>951323243060</v>
      </c>
      <c r="D77" s="121" t="str">
        <f>'IAT-1'!D82</f>
        <v>VIJITHA BLESSY V</v>
      </c>
      <c r="E77" s="273">
        <v>4</v>
      </c>
      <c r="F77" s="273">
        <v>4</v>
      </c>
      <c r="G77" s="273">
        <v>4</v>
      </c>
      <c r="H77" s="273">
        <v>4</v>
      </c>
      <c r="I77" s="273">
        <v>4</v>
      </c>
      <c r="J77" s="5"/>
      <c r="K77" s="5"/>
      <c r="L77" s="5"/>
      <c r="M77" s="5"/>
      <c r="N77" s="5"/>
      <c r="O77" s="5"/>
      <c r="P77" s="5"/>
      <c r="Q77" s="5"/>
      <c r="R77" s="5"/>
      <c r="S77" s="5"/>
    </row>
    <row r="78" spans="1:19" ht="15.75" x14ac:dyDescent="0.25">
      <c r="A78" s="472" t="s">
        <v>153</v>
      </c>
      <c r="B78" s="473"/>
      <c r="C78" s="473"/>
      <c r="D78" s="473"/>
      <c r="E78" s="256">
        <f>COUNTIF(E21:E77,"&gt;=2")</f>
        <v>57</v>
      </c>
      <c r="F78" s="256">
        <f>COUNTIF(F21:F77,"&gt;=2")</f>
        <v>57</v>
      </c>
      <c r="G78" s="256">
        <f>COUNTIF(G21:G77,"&gt;=2")</f>
        <v>57</v>
      </c>
      <c r="H78" s="256">
        <f>COUNTIF(H21:H77,"&gt;=2")</f>
        <v>57</v>
      </c>
      <c r="I78" s="256">
        <f>COUNTIF(I21:I77,"&gt;=2")</f>
        <v>57</v>
      </c>
    </row>
    <row r="79" spans="1:19" ht="15.75" x14ac:dyDescent="0.25">
      <c r="A79" s="472" t="s">
        <v>154</v>
      </c>
      <c r="B79" s="472"/>
      <c r="C79" s="472"/>
      <c r="D79" s="472"/>
      <c r="E79" s="256">
        <f>ROUND(E78/$S$9*100,1)</f>
        <v>100</v>
      </c>
      <c r="F79" s="256">
        <f>ROUND(F78/$S$9*100,1)</f>
        <v>100</v>
      </c>
      <c r="G79" s="256">
        <f>ROUND(G78/$S$9*100,1)</f>
        <v>100</v>
      </c>
      <c r="H79" s="256">
        <f>ROUND(H78/$S$9*100,1)</f>
        <v>100</v>
      </c>
      <c r="I79" s="256">
        <f>ROUND(I78/$S$9*100,1)</f>
        <v>100</v>
      </c>
    </row>
    <row r="80" spans="1:19" ht="15.75" x14ac:dyDescent="0.25">
      <c r="A80" s="472" t="s">
        <v>39</v>
      </c>
      <c r="B80" s="472"/>
      <c r="C80" s="472"/>
      <c r="D80" s="472"/>
      <c r="E80" s="256">
        <f>IF(E79&gt;=80,3,IF(E79&gt;=70,2,IF(E79&gt;=60,1,0)))</f>
        <v>3</v>
      </c>
      <c r="F80" s="256">
        <f>IF(F79&gt;=80,3,IF(F79&gt;=70,2,IF(F79&gt;=60,1,0)))</f>
        <v>3</v>
      </c>
      <c r="G80" s="256">
        <f>IF(G79&gt;=80,3,IF(G79&gt;=70,2,IF(G79&gt;=60,1,0)))</f>
        <v>3</v>
      </c>
      <c r="H80" s="256">
        <f>IF(H79&gt;=80,3,IF(H79&gt;=70,2,IF(H79&gt;=60,1,0)))</f>
        <v>3</v>
      </c>
      <c r="I80" s="256">
        <f>IF(I79&gt;=80,3,IF(I79&gt;=70,2,IF(I79&gt;=60,1,0)))</f>
        <v>3</v>
      </c>
    </row>
  </sheetData>
  <mergeCells count="19">
    <mergeCell ref="A78:D78"/>
    <mergeCell ref="A79:D79"/>
    <mergeCell ref="A80:D80"/>
    <mergeCell ref="D19:D20"/>
    <mergeCell ref="E19:I19"/>
    <mergeCell ref="B19:B20"/>
    <mergeCell ref="C19:C20"/>
    <mergeCell ref="H16:M16"/>
    <mergeCell ref="B6:J6"/>
    <mergeCell ref="B1:J1"/>
    <mergeCell ref="B2:J2"/>
    <mergeCell ref="B3:J3"/>
    <mergeCell ref="B4:J4"/>
    <mergeCell ref="B5:J5"/>
    <mergeCell ref="N9:R9"/>
    <mergeCell ref="N11:P11"/>
    <mergeCell ref="N12:P12"/>
    <mergeCell ref="N13:P13"/>
    <mergeCell ref="N14:P14"/>
  </mergeCells>
  <pageMargins left="0.7" right="0.7" top="0.75" bottom="0.75" header="0.3" footer="0.3"/>
  <pageSetup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100"/>
  <sheetViews>
    <sheetView topLeftCell="A61" zoomScale="80" zoomScaleNormal="80" workbookViewId="0">
      <selection activeCell="G24" sqref="G24"/>
    </sheetView>
  </sheetViews>
  <sheetFormatPr defaultRowHeight="15" x14ac:dyDescent="0.25"/>
  <cols>
    <col min="1" max="1" width="13.7109375" customWidth="1"/>
    <col min="2" max="2" width="18.85546875" customWidth="1"/>
    <col min="3" max="3" width="32.85546875" customWidth="1"/>
    <col min="4" max="4" width="9.42578125" customWidth="1"/>
    <col min="5" max="14" width="7.7109375" customWidth="1"/>
    <col min="15" max="15" width="10.42578125" customWidth="1"/>
    <col min="16" max="21" width="7.7109375" customWidth="1"/>
  </cols>
  <sheetData>
    <row r="1" spans="1:22" x14ac:dyDescent="0.25">
      <c r="B1" s="331" t="str">
        <f>'BL-1'!A1</f>
        <v>JAYARAJ ANNAPACKIAM C. S. I. COLLEGE OF ENGINEERING</v>
      </c>
      <c r="C1" s="331"/>
      <c r="D1" s="331"/>
      <c r="E1" s="331"/>
      <c r="F1" s="331"/>
      <c r="G1" s="331"/>
      <c r="H1" s="331"/>
      <c r="I1" s="331"/>
      <c r="J1" s="331"/>
      <c r="K1" s="331"/>
      <c r="L1" s="331"/>
      <c r="M1" s="331"/>
      <c r="N1" s="331"/>
      <c r="O1" s="331"/>
    </row>
    <row r="2" spans="1:22" x14ac:dyDescent="0.25">
      <c r="B2" s="331" t="str">
        <f>'BL-1'!A2</f>
        <v>(Approved by AICTE, New Delhi and Affiliated to Anna University)</v>
      </c>
      <c r="C2" s="331"/>
      <c r="D2" s="331"/>
      <c r="E2" s="331"/>
      <c r="F2" s="331"/>
      <c r="G2" s="331"/>
      <c r="H2" s="331"/>
      <c r="I2" s="331"/>
      <c r="J2" s="331"/>
      <c r="K2" s="331"/>
      <c r="L2" s="331"/>
      <c r="M2" s="331"/>
      <c r="N2" s="331"/>
      <c r="O2" s="331"/>
    </row>
    <row r="3" spans="1:22" x14ac:dyDescent="0.25">
      <c r="B3" s="331" t="str">
        <f>'BL-1'!A3</f>
        <v>MARGOSCHIS NAGAR, NAZARETH - 628 617</v>
      </c>
      <c r="C3" s="331"/>
      <c r="D3" s="331"/>
      <c r="E3" s="331"/>
      <c r="F3" s="331"/>
      <c r="G3" s="331"/>
      <c r="H3" s="331"/>
      <c r="I3" s="331"/>
      <c r="J3" s="331"/>
      <c r="K3" s="331"/>
      <c r="L3" s="331"/>
      <c r="M3" s="331"/>
      <c r="N3" s="331"/>
      <c r="O3" s="331"/>
    </row>
    <row r="4" spans="1:22" x14ac:dyDescent="0.25">
      <c r="B4" s="331" t="str">
        <f>'BL-1'!A4</f>
        <v>DEPARTMENT OF ARTIFICIAL INTELLIGENCE AND DATA SCIENCE</v>
      </c>
      <c r="C4" s="331"/>
      <c r="D4" s="331"/>
      <c r="E4" s="331"/>
      <c r="F4" s="331"/>
      <c r="G4" s="331"/>
      <c r="H4" s="331"/>
      <c r="I4" s="331"/>
      <c r="J4" s="331"/>
      <c r="K4" s="331"/>
      <c r="L4" s="331"/>
      <c r="M4" s="331"/>
      <c r="N4" s="331"/>
      <c r="O4" s="331"/>
    </row>
    <row r="5" spans="1:22" x14ac:dyDescent="0.25">
      <c r="B5" s="331" t="s">
        <v>158</v>
      </c>
      <c r="C5" s="331"/>
      <c r="D5" s="331"/>
      <c r="E5" s="331"/>
      <c r="F5" s="331"/>
      <c r="G5" s="331"/>
      <c r="H5" s="331"/>
      <c r="I5" s="331"/>
      <c r="J5" s="331"/>
      <c r="K5" s="331"/>
      <c r="L5" s="331"/>
      <c r="M5" s="331"/>
      <c r="N5" s="331"/>
      <c r="O5" s="331"/>
    </row>
    <row r="6" spans="1:22" x14ac:dyDescent="0.25">
      <c r="B6" s="331" t="str">
        <f>'IAT-REPORT'!B7</f>
        <v>ACADEMIC YEAR 2025-26  (ODD SEM)</v>
      </c>
      <c r="C6" s="331"/>
      <c r="D6" s="331"/>
      <c r="E6" s="331"/>
      <c r="F6" s="331"/>
      <c r="G6" s="331"/>
      <c r="H6" s="331"/>
      <c r="I6" s="331"/>
      <c r="J6" s="331"/>
      <c r="K6" s="331"/>
      <c r="L6" s="331"/>
      <c r="M6" s="331"/>
      <c r="N6" s="331"/>
      <c r="O6" s="331"/>
    </row>
    <row r="7" spans="1:22" x14ac:dyDescent="0.25">
      <c r="B7" s="1"/>
      <c r="C7" s="1"/>
      <c r="D7" s="1"/>
      <c r="E7" s="1"/>
      <c r="F7" s="1"/>
      <c r="G7" s="1"/>
      <c r="H7" s="1"/>
      <c r="I7" s="1"/>
      <c r="J7" s="1"/>
      <c r="K7" s="1"/>
      <c r="L7" s="1"/>
      <c r="M7" s="1"/>
      <c r="N7" s="1"/>
      <c r="O7" s="1"/>
    </row>
    <row r="8" spans="1:22" ht="15.75" x14ac:dyDescent="0.25">
      <c r="A8" s="10" t="str">
        <f>'BL-1'!A8:H8</f>
        <v>COURSE CODE / NAME: CW3551 DATA AND INFORMATION SECURITY</v>
      </c>
      <c r="B8" s="11"/>
      <c r="C8" s="11"/>
      <c r="D8" s="11"/>
      <c r="E8" s="11"/>
      <c r="F8" s="11"/>
      <c r="G8" s="11" t="str">
        <f>'BL-1'!I9</f>
        <v>CLASS  : III ADS</v>
      </c>
      <c r="H8" s="11"/>
      <c r="J8" s="11"/>
      <c r="K8" s="11" t="str">
        <f>'BL-1'!I8</f>
        <v>BATCH: 2023-2027</v>
      </c>
      <c r="L8" s="11"/>
      <c r="M8" s="11"/>
      <c r="P8" s="11" t="str">
        <f>'BL-1'!M8</f>
        <v>SEM:05</v>
      </c>
      <c r="U8" s="22"/>
      <c r="V8" s="22"/>
    </row>
    <row r="9" spans="1:22" ht="15.75" x14ac:dyDescent="0.25">
      <c r="A9" s="10" t="str">
        <f>'BL-1'!A9:H9</f>
        <v>COURSE INSTRUCTOR/DESIGNATION: G. ALISHA EVANGELINE,AP/ADS</v>
      </c>
      <c r="B9" s="11"/>
      <c r="C9" s="11"/>
      <c r="D9" s="11"/>
      <c r="F9" s="10"/>
      <c r="G9" s="10"/>
      <c r="J9" s="11"/>
      <c r="K9" s="11"/>
      <c r="L9" s="11"/>
      <c r="M9" s="11"/>
      <c r="N9" s="92"/>
      <c r="O9" s="408" t="s">
        <v>144</v>
      </c>
      <c r="P9" s="408"/>
      <c r="Q9" s="408"/>
      <c r="R9" s="408"/>
      <c r="S9" s="408"/>
      <c r="T9" s="88">
        <f>'IAT-1'!$Z$9</f>
        <v>57</v>
      </c>
      <c r="U9" s="22"/>
      <c r="V9" s="22"/>
    </row>
    <row r="10" spans="1:22" x14ac:dyDescent="0.25">
      <c r="A10" s="9"/>
      <c r="B10" s="8"/>
      <c r="C10" s="8"/>
      <c r="D10" s="8"/>
      <c r="E10" s="8"/>
      <c r="F10" s="8"/>
      <c r="G10" s="8"/>
      <c r="H10" s="8"/>
      <c r="I10" s="8"/>
      <c r="J10" s="8"/>
      <c r="K10" s="8"/>
      <c r="L10" s="8"/>
      <c r="M10" s="8"/>
    </row>
    <row r="11" spans="1:22" ht="15.75" x14ac:dyDescent="0.25">
      <c r="A11" s="9" t="s">
        <v>9</v>
      </c>
      <c r="B11" s="8"/>
      <c r="C11" s="8"/>
      <c r="F11" s="1"/>
      <c r="G11" s="1"/>
      <c r="I11" s="404" t="s">
        <v>67</v>
      </c>
      <c r="J11" s="410"/>
      <c r="K11" s="410"/>
      <c r="L11" s="405"/>
      <c r="M11" s="171"/>
      <c r="N11" s="15"/>
      <c r="O11" s="15"/>
      <c r="P11" s="17"/>
      <c r="Q11" s="32" t="s">
        <v>32</v>
      </c>
      <c r="R11" s="39"/>
      <c r="S11" s="24"/>
    </row>
    <row r="12" spans="1:22" ht="15.75" x14ac:dyDescent="0.25">
      <c r="A12" s="12" t="str">
        <f>'BL-1'!A12</f>
        <v>CO 1</v>
      </c>
      <c r="B12" s="116" t="str">
        <f>'BL-1'!B12</f>
        <v>Understand the basics of data and information security</v>
      </c>
      <c r="C12" s="1"/>
      <c r="D12" s="1"/>
      <c r="E12" s="1"/>
      <c r="F12" s="1"/>
      <c r="G12" s="1"/>
      <c r="H12" s="1"/>
      <c r="I12" s="406">
        <v>1</v>
      </c>
      <c r="J12" s="409"/>
      <c r="K12" s="409"/>
      <c r="L12" s="407"/>
      <c r="M12" s="170"/>
      <c r="N12" s="16" t="e">
        <f>'IAT-REPORT'!#REF!</f>
        <v>#REF!</v>
      </c>
      <c r="O12" s="16"/>
      <c r="P12" s="16"/>
      <c r="Q12" s="235" t="s">
        <v>13</v>
      </c>
      <c r="R12" s="23"/>
      <c r="S12" s="23"/>
    </row>
    <row r="13" spans="1:22" ht="15.75" x14ac:dyDescent="0.25">
      <c r="A13" s="12" t="str">
        <f>'BL-1'!A13</f>
        <v>CO 2</v>
      </c>
      <c r="B13" s="116" t="str">
        <f>'BL-1'!B13</f>
        <v>Understand the legal, ethical and professional issues in information security</v>
      </c>
      <c r="C13" s="1"/>
      <c r="D13" s="1"/>
      <c r="E13" s="1"/>
      <c r="F13" s="1"/>
      <c r="G13" s="1"/>
      <c r="H13" s="1"/>
      <c r="I13" s="406">
        <v>2</v>
      </c>
      <c r="J13" s="409"/>
      <c r="K13" s="409"/>
      <c r="L13" s="407"/>
      <c r="M13" s="170"/>
      <c r="N13" s="16" t="e">
        <f>'IAT-REPORT'!#REF!</f>
        <v>#REF!</v>
      </c>
      <c r="O13" s="16"/>
      <c r="P13" s="16"/>
      <c r="Q13" s="235" t="s">
        <v>15</v>
      </c>
      <c r="R13" s="23"/>
      <c r="S13" s="23"/>
    </row>
    <row r="14" spans="1:22" ht="15.75" x14ac:dyDescent="0.25">
      <c r="A14" s="12" t="str">
        <f>'BL-1'!A14</f>
        <v>CO 3</v>
      </c>
      <c r="B14" s="116" t="str">
        <f>'BL-1'!B14</f>
        <v>Understand the various authentication schemes to simulate different applications</v>
      </c>
      <c r="C14" s="1"/>
      <c r="D14" s="1"/>
      <c r="I14" s="406">
        <v>3</v>
      </c>
      <c r="J14" s="409"/>
      <c r="K14" s="409"/>
      <c r="L14" s="407"/>
      <c r="M14" s="170"/>
      <c r="N14" s="16" t="e">
        <f>'IAT-REPORT'!#REF!</f>
        <v>#REF!</v>
      </c>
      <c r="O14" s="16"/>
      <c r="P14" s="16"/>
      <c r="Q14" s="235" t="s">
        <v>17</v>
      </c>
      <c r="R14" s="23"/>
      <c r="S14" s="23"/>
    </row>
    <row r="15" spans="1:22" ht="15.75" x14ac:dyDescent="0.25">
      <c r="A15" s="12" t="str">
        <f>'BL-1'!A15</f>
        <v>CO 4</v>
      </c>
      <c r="B15" s="116" t="str">
        <f>'BL-1'!B15</f>
        <v>Understand various security practices and system security standards</v>
      </c>
      <c r="C15" s="1"/>
      <c r="D15" s="1"/>
      <c r="E15" s="1"/>
      <c r="F15" s="1"/>
      <c r="G15" s="1"/>
      <c r="H15" s="1"/>
      <c r="Q15" s="20"/>
      <c r="R15" s="20"/>
      <c r="S15" s="20"/>
    </row>
    <row r="16" spans="1:22" ht="15.75" x14ac:dyDescent="0.25">
      <c r="A16" s="12" t="str">
        <f>'BL-1'!A16</f>
        <v>CO 5</v>
      </c>
      <c r="B16" s="116" t="str">
        <f>'BL-1'!B16</f>
        <v>Understand the web security protocols for E-commerce applications</v>
      </c>
      <c r="C16" s="1"/>
      <c r="D16" s="1"/>
      <c r="H16" s="1"/>
      <c r="L16" s="368"/>
      <c r="M16" s="368"/>
      <c r="N16" s="368"/>
      <c r="O16" s="368"/>
      <c r="P16" s="368"/>
    </row>
    <row r="17" spans="1:22" x14ac:dyDescent="0.25">
      <c r="L17" s="7"/>
      <c r="M17" s="7"/>
      <c r="N17" s="7"/>
      <c r="O17" s="7"/>
      <c r="P17" s="7"/>
    </row>
    <row r="19" spans="1:22" ht="26.25" customHeight="1" x14ac:dyDescent="0.25">
      <c r="A19" s="393" t="s">
        <v>6</v>
      </c>
      <c r="B19" s="393" t="s">
        <v>7</v>
      </c>
      <c r="C19" s="448" t="s">
        <v>8</v>
      </c>
      <c r="D19" s="444" t="s">
        <v>47</v>
      </c>
      <c r="E19" s="483" t="s">
        <v>38</v>
      </c>
      <c r="F19" s="484"/>
      <c r="G19" s="484"/>
      <c r="H19" s="484"/>
      <c r="I19" s="485"/>
      <c r="J19" s="479" t="s">
        <v>87</v>
      </c>
      <c r="K19" s="480"/>
      <c r="L19" s="480"/>
      <c r="M19" s="480"/>
      <c r="N19" s="480"/>
      <c r="O19" s="480"/>
      <c r="P19" s="496" t="s">
        <v>156</v>
      </c>
      <c r="Q19" s="499" t="s">
        <v>147</v>
      </c>
      <c r="R19" s="499"/>
      <c r="S19" s="499"/>
      <c r="T19" s="499"/>
      <c r="U19" s="499"/>
    </row>
    <row r="20" spans="1:22" ht="15" customHeight="1" x14ac:dyDescent="0.25">
      <c r="A20" s="394"/>
      <c r="B20" s="394"/>
      <c r="C20" s="449"/>
      <c r="D20" s="492"/>
      <c r="E20" s="486"/>
      <c r="F20" s="487"/>
      <c r="G20" s="487"/>
      <c r="H20" s="487"/>
      <c r="I20" s="488"/>
      <c r="J20" s="481"/>
      <c r="K20" s="482"/>
      <c r="L20" s="482"/>
      <c r="M20" s="482"/>
      <c r="N20" s="482"/>
      <c r="O20" s="482"/>
      <c r="P20" s="497"/>
      <c r="Q20" s="500" t="s">
        <v>186</v>
      </c>
      <c r="R20" s="500" t="s">
        <v>187</v>
      </c>
      <c r="S20" s="500" t="s">
        <v>188</v>
      </c>
      <c r="T20" s="500" t="s">
        <v>189</v>
      </c>
      <c r="U20" s="500" t="s">
        <v>190</v>
      </c>
    </row>
    <row r="21" spans="1:22" ht="69" customHeight="1" x14ac:dyDescent="0.25">
      <c r="A21" s="394"/>
      <c r="B21" s="394"/>
      <c r="C21" s="449"/>
      <c r="D21" s="445"/>
      <c r="E21" s="489"/>
      <c r="F21" s="490"/>
      <c r="G21" s="490"/>
      <c r="H21" s="490"/>
      <c r="I21" s="491"/>
      <c r="J21" s="493" t="s">
        <v>86</v>
      </c>
      <c r="K21" s="494"/>
      <c r="L21" s="494"/>
      <c r="M21" s="494"/>
      <c r="N21" s="495"/>
      <c r="O21" s="275" t="s">
        <v>310</v>
      </c>
      <c r="P21" s="497"/>
      <c r="Q21" s="501"/>
      <c r="R21" s="501"/>
      <c r="S21" s="501"/>
      <c r="T21" s="501"/>
      <c r="U21" s="501"/>
    </row>
    <row r="22" spans="1:22" ht="15" customHeight="1" x14ac:dyDescent="0.25">
      <c r="A22" s="394"/>
      <c r="B22" s="394"/>
      <c r="C22" s="449"/>
      <c r="D22" s="83" t="s">
        <v>110</v>
      </c>
      <c r="E22" s="223" t="s">
        <v>186</v>
      </c>
      <c r="F22" s="223" t="s">
        <v>187</v>
      </c>
      <c r="G22" s="223" t="s">
        <v>188</v>
      </c>
      <c r="H22" s="223" t="s">
        <v>189</v>
      </c>
      <c r="I22" s="223" t="s">
        <v>190</v>
      </c>
      <c r="J22" s="276" t="s">
        <v>186</v>
      </c>
      <c r="K22" s="276" t="s">
        <v>187</v>
      </c>
      <c r="L22" s="276" t="s">
        <v>188</v>
      </c>
      <c r="M22" s="277" t="s">
        <v>189</v>
      </c>
      <c r="N22" s="277" t="s">
        <v>190</v>
      </c>
      <c r="O22" s="277" t="s">
        <v>186</v>
      </c>
      <c r="P22" s="498"/>
      <c r="Q22" s="502"/>
      <c r="R22" s="502"/>
      <c r="S22" s="502"/>
      <c r="T22" s="502"/>
      <c r="U22" s="502"/>
    </row>
    <row r="23" spans="1:22" ht="15" customHeight="1" x14ac:dyDescent="0.25">
      <c r="A23" s="394"/>
      <c r="B23" s="394"/>
      <c r="C23" s="449"/>
      <c r="D23" s="55"/>
      <c r="E23" s="223">
        <v>100</v>
      </c>
      <c r="F23" s="223">
        <v>100</v>
      </c>
      <c r="G23" s="223">
        <v>100</v>
      </c>
      <c r="H23" s="223">
        <v>100</v>
      </c>
      <c r="I23" s="223">
        <v>100</v>
      </c>
      <c r="J23" s="279">
        <v>100</v>
      </c>
      <c r="K23" s="279">
        <v>100</v>
      </c>
      <c r="L23" s="279">
        <v>100</v>
      </c>
      <c r="M23" s="277">
        <v>100</v>
      </c>
      <c r="N23" s="277">
        <v>100</v>
      </c>
      <c r="O23" s="280">
        <v>100</v>
      </c>
      <c r="P23" s="223">
        <v>100</v>
      </c>
      <c r="Q23" s="271">
        <v>100</v>
      </c>
      <c r="R23" s="271">
        <v>100</v>
      </c>
      <c r="S23" s="271">
        <v>100</v>
      </c>
      <c r="T23" s="271">
        <v>100</v>
      </c>
      <c r="U23" s="271">
        <v>100</v>
      </c>
    </row>
    <row r="24" spans="1:22" ht="15.75" x14ac:dyDescent="0.25">
      <c r="A24" s="2">
        <v>1</v>
      </c>
      <c r="B24" s="112">
        <f>'IAT-1'!C26</f>
        <v>951323243001</v>
      </c>
      <c r="C24" s="113" t="str">
        <f>'IAT-1'!D26</f>
        <v>ABINAYA S</v>
      </c>
      <c r="D24" s="3"/>
      <c r="E24" s="281">
        <f>'IAT-REPORT'!P24</f>
        <v>100</v>
      </c>
      <c r="F24" s="281">
        <f>'IAT-REPORT'!Q24</f>
        <v>83.3</v>
      </c>
      <c r="G24" s="281">
        <f>'IAT-REPORT'!R24</f>
        <v>50</v>
      </c>
      <c r="H24" s="281">
        <f>'IAT-REPORT'!S24</f>
        <v>0</v>
      </c>
      <c r="I24" s="281">
        <f>'IAT-REPORT'!T24</f>
        <v>0</v>
      </c>
      <c r="J24" s="282">
        <f>RUBRICS!I24</f>
        <v>100</v>
      </c>
      <c r="K24" s="282">
        <f>RUBRICS!N24</f>
        <v>100</v>
      </c>
      <c r="L24" s="282">
        <f>RUBRICS!S24</f>
        <v>100</v>
      </c>
      <c r="M24" s="282">
        <f>RUBRICS!X24</f>
        <v>70</v>
      </c>
      <c r="N24" s="282">
        <f>RUBRICS!AC24</f>
        <v>70</v>
      </c>
      <c r="O24" s="282">
        <f>RUBRICS!AD24</f>
        <v>100</v>
      </c>
      <c r="P24" s="282">
        <f>UNIV!F21</f>
        <v>0</v>
      </c>
      <c r="Q24" s="281">
        <f>'COURSE END SURVEY'!E21</f>
        <v>4</v>
      </c>
      <c r="R24" s="281">
        <f>'COURSE END SURVEY'!F21</f>
        <v>3</v>
      </c>
      <c r="S24" s="281">
        <f>'COURSE END SURVEY'!G21</f>
        <v>4</v>
      </c>
      <c r="T24" s="281">
        <f>'COURSE END SURVEY'!H21</f>
        <v>4</v>
      </c>
      <c r="U24" s="281">
        <f>'COURSE END SURVEY'!I21</f>
        <v>4</v>
      </c>
      <c r="V24" s="11"/>
    </row>
    <row r="25" spans="1:22" ht="15.75" x14ac:dyDescent="0.25">
      <c r="A25" s="2">
        <v>2</v>
      </c>
      <c r="B25" s="112">
        <f>'IAT-1'!C27</f>
        <v>951323243002</v>
      </c>
      <c r="C25" s="113" t="str">
        <f>'IAT-1'!D27</f>
        <v>ABISHEK S</v>
      </c>
      <c r="D25" s="3"/>
      <c r="E25" s="281">
        <f>'IAT-REPORT'!P25</f>
        <v>69.599999999999994</v>
      </c>
      <c r="F25" s="281">
        <f>'IAT-REPORT'!Q25</f>
        <v>50</v>
      </c>
      <c r="G25" s="281">
        <f>'IAT-REPORT'!R25</f>
        <v>44.45</v>
      </c>
      <c r="H25" s="281">
        <f>'IAT-REPORT'!S25</f>
        <v>0</v>
      </c>
      <c r="I25" s="281">
        <f>'IAT-REPORT'!T25</f>
        <v>0</v>
      </c>
      <c r="J25" s="282">
        <f>RUBRICS!I25</f>
        <v>100</v>
      </c>
      <c r="K25" s="282">
        <f>RUBRICS!N25</f>
        <v>100</v>
      </c>
      <c r="L25" s="282">
        <f>RUBRICS!S25</f>
        <v>100</v>
      </c>
      <c r="M25" s="282">
        <f>RUBRICS!X25</f>
        <v>70</v>
      </c>
      <c r="N25" s="282">
        <f>RUBRICS!AC25</f>
        <v>70</v>
      </c>
      <c r="O25" s="282">
        <f>RUBRICS!AD25</f>
        <v>70</v>
      </c>
      <c r="P25" s="282">
        <f>UNIV!F22</f>
        <v>70</v>
      </c>
      <c r="Q25" s="281">
        <f>'COURSE END SURVEY'!E22</f>
        <v>4</v>
      </c>
      <c r="R25" s="281">
        <f>'COURSE END SURVEY'!F22</f>
        <v>3</v>
      </c>
      <c r="S25" s="281">
        <f>'COURSE END SURVEY'!G22</f>
        <v>4</v>
      </c>
      <c r="T25" s="281">
        <f>'COURSE END SURVEY'!H22</f>
        <v>3</v>
      </c>
      <c r="U25" s="281">
        <f>'COURSE END SURVEY'!I22</f>
        <v>4</v>
      </c>
      <c r="V25" s="11"/>
    </row>
    <row r="26" spans="1:22" ht="15.75" x14ac:dyDescent="0.25">
      <c r="A26" s="2">
        <v>3</v>
      </c>
      <c r="B26" s="112">
        <f>'IAT-1'!C28</f>
        <v>951323243003</v>
      </c>
      <c r="C26" s="113" t="str">
        <f>'IAT-1'!D28</f>
        <v>AJEETHA S</v>
      </c>
      <c r="D26" s="3"/>
      <c r="E26" s="281">
        <f>'IAT-REPORT'!P26</f>
        <v>0</v>
      </c>
      <c r="F26" s="281">
        <f>'IAT-REPORT'!Q26</f>
        <v>0</v>
      </c>
      <c r="G26" s="281">
        <f>'IAT-REPORT'!R26</f>
        <v>50</v>
      </c>
      <c r="H26" s="281">
        <f>'IAT-REPORT'!S26</f>
        <v>0</v>
      </c>
      <c r="I26" s="281">
        <f>'IAT-REPORT'!T26</f>
        <v>0</v>
      </c>
      <c r="J26" s="282">
        <f>RUBRICS!I26</f>
        <v>100</v>
      </c>
      <c r="K26" s="282">
        <f>RUBRICS!N26</f>
        <v>100</v>
      </c>
      <c r="L26" s="282">
        <f>RUBRICS!S26</f>
        <v>100</v>
      </c>
      <c r="M26" s="282">
        <f>RUBRICS!X26</f>
        <v>100</v>
      </c>
      <c r="N26" s="282">
        <f>RUBRICS!AC26</f>
        <v>100</v>
      </c>
      <c r="O26" s="282">
        <f>RUBRICS!AD26</f>
        <v>80</v>
      </c>
      <c r="P26" s="282">
        <f>UNIV!F23</f>
        <v>80</v>
      </c>
      <c r="Q26" s="281">
        <f>'COURSE END SURVEY'!E23</f>
        <v>4</v>
      </c>
      <c r="R26" s="281">
        <f>'COURSE END SURVEY'!F23</f>
        <v>4</v>
      </c>
      <c r="S26" s="281">
        <f>'COURSE END SURVEY'!G23</f>
        <v>4</v>
      </c>
      <c r="T26" s="281">
        <f>'COURSE END SURVEY'!H23</f>
        <v>4</v>
      </c>
      <c r="U26" s="281">
        <f>'COURSE END SURVEY'!I23</f>
        <v>4</v>
      </c>
      <c r="V26" s="11"/>
    </row>
    <row r="27" spans="1:22" ht="15.75" x14ac:dyDescent="0.25">
      <c r="A27" s="2">
        <v>4</v>
      </c>
      <c r="B27" s="112">
        <f>'IAT-1'!C29</f>
        <v>951323243004</v>
      </c>
      <c r="C27" s="113" t="str">
        <f>'IAT-1'!D29</f>
        <v>AJIM FAYAZ K M S</v>
      </c>
      <c r="D27" s="3"/>
      <c r="E27" s="281">
        <f>'IAT-REPORT'!P27</f>
        <v>0</v>
      </c>
      <c r="F27" s="281">
        <f>'IAT-REPORT'!Q27</f>
        <v>0</v>
      </c>
      <c r="G27" s="281">
        <f>'IAT-REPORT'!R27</f>
        <v>11.1</v>
      </c>
      <c r="H27" s="281">
        <f>'IAT-REPORT'!S27</f>
        <v>22.2</v>
      </c>
      <c r="I27" s="281">
        <f>'IAT-REPORT'!T27</f>
        <v>34.799999999999997</v>
      </c>
      <c r="J27" s="282">
        <f>RUBRICS!I27</f>
        <v>70</v>
      </c>
      <c r="K27" s="282">
        <f>RUBRICS!N27</f>
        <v>50</v>
      </c>
      <c r="L27" s="282">
        <f>RUBRICS!S27</f>
        <v>50</v>
      </c>
      <c r="M27" s="282">
        <f>RUBRICS!X27</f>
        <v>100</v>
      </c>
      <c r="N27" s="282">
        <f>RUBRICS!AC27</f>
        <v>70</v>
      </c>
      <c r="O27" s="282">
        <f>RUBRICS!AD27</f>
        <v>60</v>
      </c>
      <c r="P27" s="282">
        <f>UNIV!F24</f>
        <v>0</v>
      </c>
      <c r="Q27" s="281">
        <f>'COURSE END SURVEY'!E24</f>
        <v>3</v>
      </c>
      <c r="R27" s="281">
        <f>'COURSE END SURVEY'!F24</f>
        <v>3</v>
      </c>
      <c r="S27" s="281">
        <f>'COURSE END SURVEY'!G24</f>
        <v>4</v>
      </c>
      <c r="T27" s="281">
        <f>'COURSE END SURVEY'!H24</f>
        <v>2</v>
      </c>
      <c r="U27" s="281">
        <f>'COURSE END SURVEY'!I24</f>
        <v>4</v>
      </c>
      <c r="V27" s="11"/>
    </row>
    <row r="28" spans="1:22" ht="15.75" x14ac:dyDescent="0.25">
      <c r="A28" s="2">
        <v>5</v>
      </c>
      <c r="B28" s="112">
        <f>'IAT-1'!C30</f>
        <v>951323243005</v>
      </c>
      <c r="C28" s="113" t="str">
        <f>'IAT-1'!D30</f>
        <v>ALPHONES CRUZ NAVEEN J</v>
      </c>
      <c r="D28" s="3"/>
      <c r="E28" s="281">
        <f>'IAT-REPORT'!P28</f>
        <v>13</v>
      </c>
      <c r="F28" s="281">
        <f>'IAT-REPORT'!Q28</f>
        <v>0</v>
      </c>
      <c r="G28" s="281">
        <f>'IAT-REPORT'!R28</f>
        <v>38.9</v>
      </c>
      <c r="H28" s="281">
        <f>'IAT-REPORT'!S28</f>
        <v>22.2</v>
      </c>
      <c r="I28" s="281">
        <f>'IAT-REPORT'!T28</f>
        <v>13</v>
      </c>
      <c r="J28" s="282">
        <f>RUBRICS!I28</f>
        <v>70</v>
      </c>
      <c r="K28" s="282">
        <f>RUBRICS!N28</f>
        <v>100</v>
      </c>
      <c r="L28" s="282">
        <f>RUBRICS!S28</f>
        <v>100</v>
      </c>
      <c r="M28" s="282">
        <f>RUBRICS!X28</f>
        <v>80</v>
      </c>
      <c r="N28" s="282">
        <f>RUBRICS!AC28</f>
        <v>70</v>
      </c>
      <c r="O28" s="282">
        <f>RUBRICS!AD28</f>
        <v>80</v>
      </c>
      <c r="P28" s="282">
        <f>UNIV!F25</f>
        <v>70</v>
      </c>
      <c r="Q28" s="281">
        <f>'COURSE END SURVEY'!E25</f>
        <v>4</v>
      </c>
      <c r="R28" s="281">
        <f>'COURSE END SURVEY'!F25</f>
        <v>3</v>
      </c>
      <c r="S28" s="281">
        <f>'COURSE END SURVEY'!G25</f>
        <v>4</v>
      </c>
      <c r="T28" s="281">
        <f>'COURSE END SURVEY'!H25</f>
        <v>3</v>
      </c>
      <c r="U28" s="281">
        <f>'COURSE END SURVEY'!I25</f>
        <v>3</v>
      </c>
      <c r="V28" s="11"/>
    </row>
    <row r="29" spans="1:22" ht="15.75" x14ac:dyDescent="0.25">
      <c r="A29" s="2">
        <v>6</v>
      </c>
      <c r="B29" s="112">
        <f>'IAT-1'!C31</f>
        <v>951323243006</v>
      </c>
      <c r="C29" s="113" t="str">
        <f>'IAT-1'!D31</f>
        <v>ANGEL AGNES D</v>
      </c>
      <c r="D29" s="3"/>
      <c r="E29" s="281">
        <f>'IAT-REPORT'!P29</f>
        <v>91.3</v>
      </c>
      <c r="F29" s="281">
        <f>'IAT-REPORT'!Q29</f>
        <v>100</v>
      </c>
      <c r="G29" s="281">
        <f>'IAT-REPORT'!R29</f>
        <v>83.35</v>
      </c>
      <c r="H29" s="281">
        <f>'IAT-REPORT'!S29</f>
        <v>77.8</v>
      </c>
      <c r="I29" s="281">
        <f>'IAT-REPORT'!T29</f>
        <v>87</v>
      </c>
      <c r="J29" s="282">
        <f>RUBRICS!I29</f>
        <v>100</v>
      </c>
      <c r="K29" s="282">
        <f>RUBRICS!N29</f>
        <v>100</v>
      </c>
      <c r="L29" s="282">
        <f>RUBRICS!S29</f>
        <v>100</v>
      </c>
      <c r="M29" s="282">
        <f>RUBRICS!X29</f>
        <v>100</v>
      </c>
      <c r="N29" s="282">
        <f>RUBRICS!AC29</f>
        <v>100</v>
      </c>
      <c r="O29" s="282">
        <f>RUBRICS!AD29</f>
        <v>70</v>
      </c>
      <c r="P29" s="282">
        <f>UNIV!F26</f>
        <v>90</v>
      </c>
      <c r="Q29" s="281">
        <f>'COURSE END SURVEY'!E26</f>
        <v>4</v>
      </c>
      <c r="R29" s="281">
        <f>'COURSE END SURVEY'!F26</f>
        <v>4</v>
      </c>
      <c r="S29" s="281">
        <f>'COURSE END SURVEY'!G26</f>
        <v>4</v>
      </c>
      <c r="T29" s="281">
        <f>'COURSE END SURVEY'!H26</f>
        <v>4</v>
      </c>
      <c r="U29" s="281">
        <f>'COURSE END SURVEY'!I26</f>
        <v>4</v>
      </c>
      <c r="V29" s="11"/>
    </row>
    <row r="30" spans="1:22" ht="15.75" x14ac:dyDescent="0.25">
      <c r="A30" s="2">
        <v>7</v>
      </c>
      <c r="B30" s="112">
        <f>'IAT-1'!C32</f>
        <v>951323243007</v>
      </c>
      <c r="C30" s="113" t="str">
        <f>'IAT-1'!D32</f>
        <v>ANUSHA P</v>
      </c>
      <c r="D30" s="3"/>
      <c r="E30" s="281">
        <f>'IAT-REPORT'!P30</f>
        <v>100</v>
      </c>
      <c r="F30" s="281">
        <f>'IAT-REPORT'!Q30</f>
        <v>100</v>
      </c>
      <c r="G30" s="281">
        <f>'IAT-REPORT'!R30</f>
        <v>100</v>
      </c>
      <c r="H30" s="281">
        <f>'IAT-REPORT'!S30</f>
        <v>94.4</v>
      </c>
      <c r="I30" s="281">
        <f>'IAT-REPORT'!T30</f>
        <v>100</v>
      </c>
      <c r="J30" s="282">
        <f>RUBRICS!I30</f>
        <v>100</v>
      </c>
      <c r="K30" s="282">
        <f>RUBRICS!N30</f>
        <v>100</v>
      </c>
      <c r="L30" s="282">
        <f>RUBRICS!S30</f>
        <v>100</v>
      </c>
      <c r="M30" s="282">
        <f>RUBRICS!X30</f>
        <v>100</v>
      </c>
      <c r="N30" s="282">
        <f>RUBRICS!AC30</f>
        <v>100</v>
      </c>
      <c r="O30" s="282">
        <f>RUBRICS!AD30</f>
        <v>60</v>
      </c>
      <c r="P30" s="282">
        <f>UNIV!F27</f>
        <v>90</v>
      </c>
      <c r="Q30" s="281">
        <f>'COURSE END SURVEY'!E27</f>
        <v>4</v>
      </c>
      <c r="R30" s="281">
        <f>'COURSE END SURVEY'!F27</f>
        <v>4</v>
      </c>
      <c r="S30" s="281">
        <f>'COURSE END SURVEY'!G27</f>
        <v>4</v>
      </c>
      <c r="T30" s="281">
        <f>'COURSE END SURVEY'!H27</f>
        <v>4</v>
      </c>
      <c r="U30" s="281">
        <f>'COURSE END SURVEY'!I27</f>
        <v>4</v>
      </c>
      <c r="V30" s="11"/>
    </row>
    <row r="31" spans="1:22" ht="15.75" x14ac:dyDescent="0.25">
      <c r="A31" s="2">
        <v>8</v>
      </c>
      <c r="B31" s="112">
        <f>'IAT-1'!C33</f>
        <v>951323243008</v>
      </c>
      <c r="C31" s="113" t="str">
        <f>'IAT-1'!D33</f>
        <v>ARIBA M</v>
      </c>
      <c r="D31" s="3"/>
      <c r="E31" s="281">
        <f>'IAT-REPORT'!P31</f>
        <v>69.599999999999994</v>
      </c>
      <c r="F31" s="281">
        <f>'IAT-REPORT'!Q31</f>
        <v>100</v>
      </c>
      <c r="G31" s="281">
        <f>'IAT-REPORT'!R31</f>
        <v>77.800000000000011</v>
      </c>
      <c r="H31" s="281">
        <f>'IAT-REPORT'!S31</f>
        <v>38.9</v>
      </c>
      <c r="I31" s="281">
        <f>'IAT-REPORT'!T31</f>
        <v>91.3</v>
      </c>
      <c r="J31" s="282">
        <f>RUBRICS!I31</f>
        <v>100</v>
      </c>
      <c r="K31" s="282">
        <f>RUBRICS!N31</f>
        <v>100</v>
      </c>
      <c r="L31" s="282">
        <f>RUBRICS!S31</f>
        <v>100</v>
      </c>
      <c r="M31" s="282">
        <f>RUBRICS!X31</f>
        <v>70</v>
      </c>
      <c r="N31" s="282">
        <f>RUBRICS!AC31</f>
        <v>70</v>
      </c>
      <c r="O31" s="282">
        <f>RUBRICS!AD31</f>
        <v>80</v>
      </c>
      <c r="P31" s="282">
        <f>UNIV!F28</f>
        <v>80</v>
      </c>
      <c r="Q31" s="281">
        <f>'COURSE END SURVEY'!E28</f>
        <v>4</v>
      </c>
      <c r="R31" s="281">
        <f>'COURSE END SURVEY'!F28</f>
        <v>3</v>
      </c>
      <c r="S31" s="281">
        <f>'COURSE END SURVEY'!G28</f>
        <v>4</v>
      </c>
      <c r="T31" s="281">
        <f>'COURSE END SURVEY'!H28</f>
        <v>3</v>
      </c>
      <c r="U31" s="281">
        <f>'COURSE END SURVEY'!I28</f>
        <v>4</v>
      </c>
      <c r="V31" s="108"/>
    </row>
    <row r="32" spans="1:22" ht="15.75" x14ac:dyDescent="0.25">
      <c r="A32" s="2">
        <v>9</v>
      </c>
      <c r="B32" s="112">
        <f>'IAT-1'!C34</f>
        <v>951323243009</v>
      </c>
      <c r="C32" s="113" t="str">
        <f>'IAT-1'!D34</f>
        <v>BALADHARSHINI S</v>
      </c>
      <c r="D32" s="3"/>
      <c r="E32" s="281">
        <f>'IAT-REPORT'!P32</f>
        <v>91.3</v>
      </c>
      <c r="F32" s="281">
        <f>'IAT-REPORT'!Q32</f>
        <v>66.7</v>
      </c>
      <c r="G32" s="281">
        <f>'IAT-REPORT'!R32</f>
        <v>83.35</v>
      </c>
      <c r="H32" s="281">
        <f>'IAT-REPORT'!S32</f>
        <v>83.3</v>
      </c>
      <c r="I32" s="281">
        <f>'IAT-REPORT'!T32</f>
        <v>87</v>
      </c>
      <c r="J32" s="282">
        <f>RUBRICS!I32</f>
        <v>100</v>
      </c>
      <c r="K32" s="282">
        <f>RUBRICS!N32</f>
        <v>100</v>
      </c>
      <c r="L32" s="282">
        <f>RUBRICS!S32</f>
        <v>100</v>
      </c>
      <c r="M32" s="282">
        <f>RUBRICS!X32</f>
        <v>100</v>
      </c>
      <c r="N32" s="282">
        <f>RUBRICS!AC32</f>
        <v>100</v>
      </c>
      <c r="O32" s="282">
        <f>RUBRICS!AD32</f>
        <v>60</v>
      </c>
      <c r="P32" s="282">
        <f>UNIV!F29</f>
        <v>90</v>
      </c>
      <c r="Q32" s="281">
        <f>'COURSE END SURVEY'!E29</f>
        <v>4</v>
      </c>
      <c r="R32" s="281">
        <f>'COURSE END SURVEY'!F29</f>
        <v>4</v>
      </c>
      <c r="S32" s="281">
        <f>'COURSE END SURVEY'!G29</f>
        <v>4</v>
      </c>
      <c r="T32" s="281">
        <f>'COURSE END SURVEY'!H29</f>
        <v>4</v>
      </c>
      <c r="U32" s="281">
        <f>'COURSE END SURVEY'!I29</f>
        <v>4</v>
      </c>
    </row>
    <row r="33" spans="1:21" ht="15.75" x14ac:dyDescent="0.25">
      <c r="A33" s="2">
        <v>10</v>
      </c>
      <c r="B33" s="112">
        <f>'IAT-1'!C35</f>
        <v>951323243010</v>
      </c>
      <c r="C33" s="113" t="str">
        <f>'IAT-1'!D35</f>
        <v>BALASANKAR AYYAPPAN M</v>
      </c>
      <c r="D33" s="3"/>
      <c r="E33" s="281">
        <f>'IAT-REPORT'!P33</f>
        <v>95.7</v>
      </c>
      <c r="F33" s="281">
        <f>'IAT-REPORT'!Q33</f>
        <v>72.2</v>
      </c>
      <c r="G33" s="281">
        <f>'IAT-REPORT'!R33</f>
        <v>77.800000000000011</v>
      </c>
      <c r="H33" s="281">
        <f>'IAT-REPORT'!S33</f>
        <v>61.1</v>
      </c>
      <c r="I33" s="281">
        <f>'IAT-REPORT'!T33</f>
        <v>95.7</v>
      </c>
      <c r="J33" s="282">
        <f>RUBRICS!I33</f>
        <v>100</v>
      </c>
      <c r="K33" s="282">
        <f>RUBRICS!N33</f>
        <v>100</v>
      </c>
      <c r="L33" s="282">
        <f>RUBRICS!S33</f>
        <v>100</v>
      </c>
      <c r="M33" s="282">
        <f>RUBRICS!X33</f>
        <v>100</v>
      </c>
      <c r="N33" s="282">
        <f>RUBRICS!AC33</f>
        <v>70</v>
      </c>
      <c r="O33" s="282">
        <f>RUBRICS!AD33</f>
        <v>70</v>
      </c>
      <c r="P33" s="282">
        <f>UNIV!F30</f>
        <v>80</v>
      </c>
      <c r="Q33" s="281">
        <f>'COURSE END SURVEY'!E30</f>
        <v>3</v>
      </c>
      <c r="R33" s="281">
        <f>'COURSE END SURVEY'!F30</f>
        <v>4</v>
      </c>
      <c r="S33" s="281">
        <f>'COURSE END SURVEY'!G30</f>
        <v>4</v>
      </c>
      <c r="T33" s="281">
        <f>'COURSE END SURVEY'!H30</f>
        <v>3</v>
      </c>
      <c r="U33" s="281">
        <f>'COURSE END SURVEY'!I30</f>
        <v>4</v>
      </c>
    </row>
    <row r="34" spans="1:21" ht="15.75" x14ac:dyDescent="0.25">
      <c r="A34" s="2">
        <v>11</v>
      </c>
      <c r="B34" s="112">
        <f>'IAT-1'!C36</f>
        <v>951323243011</v>
      </c>
      <c r="C34" s="113" t="str">
        <f>'IAT-1'!D36</f>
        <v>BALA SRI RAM G</v>
      </c>
      <c r="D34" s="3"/>
      <c r="E34" s="281">
        <f>'IAT-REPORT'!P34</f>
        <v>4.3</v>
      </c>
      <c r="F34" s="281">
        <f>'IAT-REPORT'!Q34</f>
        <v>11.1</v>
      </c>
      <c r="G34" s="281">
        <f>'IAT-REPORT'!R34</f>
        <v>11.1</v>
      </c>
      <c r="H34" s="281">
        <f>'IAT-REPORT'!S34</f>
        <v>16.7</v>
      </c>
      <c r="I34" s="281">
        <f>'IAT-REPORT'!T34</f>
        <v>60.9</v>
      </c>
      <c r="J34" s="282">
        <f>RUBRICS!I34</f>
        <v>90</v>
      </c>
      <c r="K34" s="282">
        <f>RUBRICS!N34</f>
        <v>100</v>
      </c>
      <c r="L34" s="282">
        <f>RUBRICS!S34</f>
        <v>100</v>
      </c>
      <c r="M34" s="282">
        <f>RUBRICS!X34</f>
        <v>70</v>
      </c>
      <c r="N34" s="282">
        <f>RUBRICS!AC34</f>
        <v>70</v>
      </c>
      <c r="O34" s="282">
        <f>RUBRICS!AD34</f>
        <v>60</v>
      </c>
      <c r="P34" s="282">
        <f>UNIV!F31</f>
        <v>0</v>
      </c>
      <c r="Q34" s="281">
        <f>'COURSE END SURVEY'!E31</f>
        <v>3</v>
      </c>
      <c r="R34" s="281">
        <f>'COURSE END SURVEY'!F31</f>
        <v>2</v>
      </c>
      <c r="S34" s="281">
        <f>'COURSE END SURVEY'!G31</f>
        <v>4</v>
      </c>
      <c r="T34" s="281">
        <f>'COURSE END SURVEY'!H31</f>
        <v>2</v>
      </c>
      <c r="U34" s="281">
        <f>'COURSE END SURVEY'!I31</f>
        <v>4</v>
      </c>
    </row>
    <row r="35" spans="1:21" ht="15.75" x14ac:dyDescent="0.25">
      <c r="A35" s="2">
        <v>12</v>
      </c>
      <c r="B35" s="112">
        <f>'IAT-1'!C37</f>
        <v>951323243012</v>
      </c>
      <c r="C35" s="113" t="str">
        <f>'IAT-1'!D37</f>
        <v>BENJAMINE FRANKLIN C</v>
      </c>
      <c r="D35" s="3"/>
      <c r="E35" s="281">
        <f>'IAT-REPORT'!P35</f>
        <v>69.599999999999994</v>
      </c>
      <c r="F35" s="281">
        <f>'IAT-REPORT'!Q35</f>
        <v>61.1</v>
      </c>
      <c r="G35" s="281">
        <f>'IAT-REPORT'!R35</f>
        <v>61.1</v>
      </c>
      <c r="H35" s="281">
        <f>'IAT-REPORT'!S35</f>
        <v>27.8</v>
      </c>
      <c r="I35" s="281">
        <f>'IAT-REPORT'!T35</f>
        <v>87</v>
      </c>
      <c r="J35" s="282">
        <f>RUBRICS!I35</f>
        <v>100</v>
      </c>
      <c r="K35" s="282">
        <f>RUBRICS!N35</f>
        <v>100</v>
      </c>
      <c r="L35" s="282">
        <f>RUBRICS!S35</f>
        <v>100</v>
      </c>
      <c r="M35" s="282">
        <f>RUBRICS!X35</f>
        <v>100</v>
      </c>
      <c r="N35" s="282">
        <f>RUBRICS!AC35</f>
        <v>70</v>
      </c>
      <c r="O35" s="282">
        <f>RUBRICS!AD35</f>
        <v>60</v>
      </c>
      <c r="P35" s="282">
        <f>UNIV!F32</f>
        <v>70</v>
      </c>
      <c r="Q35" s="281">
        <f>'COURSE END SURVEY'!E32</f>
        <v>3</v>
      </c>
      <c r="R35" s="281">
        <f>'COURSE END SURVEY'!F32</f>
        <v>4</v>
      </c>
      <c r="S35" s="281">
        <f>'COURSE END SURVEY'!G32</f>
        <v>3</v>
      </c>
      <c r="T35" s="281">
        <f>'COURSE END SURVEY'!H32</f>
        <v>3</v>
      </c>
      <c r="U35" s="281">
        <f>'COURSE END SURVEY'!I32</f>
        <v>4</v>
      </c>
    </row>
    <row r="36" spans="1:21" ht="15.75" x14ac:dyDescent="0.25">
      <c r="A36" s="2">
        <v>13</v>
      </c>
      <c r="B36" s="112">
        <f>'IAT-1'!C38</f>
        <v>951323243013</v>
      </c>
      <c r="C36" s="113" t="str">
        <f>'IAT-1'!D38</f>
        <v>CATHRINE R</v>
      </c>
      <c r="D36" s="3"/>
      <c r="E36" s="281">
        <f>'IAT-REPORT'!P36</f>
        <v>95.7</v>
      </c>
      <c r="F36" s="281">
        <f>'IAT-REPORT'!Q36</f>
        <v>100</v>
      </c>
      <c r="G36" s="281">
        <f>'IAT-REPORT'!R36</f>
        <v>83.35</v>
      </c>
      <c r="H36" s="281">
        <f>'IAT-REPORT'!S36</f>
        <v>83.3</v>
      </c>
      <c r="I36" s="281">
        <f>'IAT-REPORT'!T36</f>
        <v>60.9</v>
      </c>
      <c r="J36" s="282">
        <f>RUBRICS!I36</f>
        <v>100</v>
      </c>
      <c r="K36" s="282">
        <f>RUBRICS!N36</f>
        <v>100</v>
      </c>
      <c r="L36" s="282">
        <f>RUBRICS!S36</f>
        <v>100</v>
      </c>
      <c r="M36" s="282">
        <f>RUBRICS!X36</f>
        <v>100</v>
      </c>
      <c r="N36" s="282">
        <f>RUBRICS!AC36</f>
        <v>70</v>
      </c>
      <c r="O36" s="282">
        <f>RUBRICS!AD36</f>
        <v>70</v>
      </c>
      <c r="P36" s="282">
        <f>UNIV!F33</f>
        <v>80</v>
      </c>
      <c r="Q36" s="281">
        <f>'COURSE END SURVEY'!E33</f>
        <v>4</v>
      </c>
      <c r="R36" s="281">
        <f>'COURSE END SURVEY'!F33</f>
        <v>4</v>
      </c>
      <c r="S36" s="281">
        <f>'COURSE END SURVEY'!G33</f>
        <v>3</v>
      </c>
      <c r="T36" s="281">
        <f>'COURSE END SURVEY'!H33</f>
        <v>3</v>
      </c>
      <c r="U36" s="281">
        <f>'COURSE END SURVEY'!I33</f>
        <v>4</v>
      </c>
    </row>
    <row r="37" spans="1:21" ht="15.75" x14ac:dyDescent="0.25">
      <c r="A37" s="2">
        <v>14</v>
      </c>
      <c r="B37" s="112">
        <f>'IAT-1'!C39</f>
        <v>951323243014</v>
      </c>
      <c r="C37" s="113" t="str">
        <f>'IAT-1'!D39</f>
        <v>CHENGALESWARI K</v>
      </c>
      <c r="D37" s="3"/>
      <c r="E37" s="281">
        <f>'IAT-REPORT'!P37</f>
        <v>65.2</v>
      </c>
      <c r="F37" s="281">
        <f>'IAT-REPORT'!Q37</f>
        <v>100</v>
      </c>
      <c r="G37" s="281">
        <f>'IAT-REPORT'!R37</f>
        <v>94.45</v>
      </c>
      <c r="H37" s="281">
        <f>'IAT-REPORT'!S37</f>
        <v>0</v>
      </c>
      <c r="I37" s="281">
        <f>'IAT-REPORT'!T37</f>
        <v>100</v>
      </c>
      <c r="J37" s="282">
        <f>RUBRICS!I37</f>
        <v>100</v>
      </c>
      <c r="K37" s="282">
        <f>RUBRICS!N37</f>
        <v>100</v>
      </c>
      <c r="L37" s="282">
        <f>RUBRICS!S37</f>
        <v>100</v>
      </c>
      <c r="M37" s="282">
        <f>RUBRICS!X37</f>
        <v>70</v>
      </c>
      <c r="N37" s="282">
        <f>RUBRICS!AC37</f>
        <v>70</v>
      </c>
      <c r="O37" s="282">
        <f>RUBRICS!AD37</f>
        <v>60</v>
      </c>
      <c r="P37" s="282">
        <f>UNIV!F34</f>
        <v>70</v>
      </c>
      <c r="Q37" s="281">
        <f>'COURSE END SURVEY'!E34</f>
        <v>3</v>
      </c>
      <c r="R37" s="281">
        <f>'COURSE END SURVEY'!F34</f>
        <v>4</v>
      </c>
      <c r="S37" s="281">
        <f>'COURSE END SURVEY'!G34</f>
        <v>3</v>
      </c>
      <c r="T37" s="281">
        <f>'COURSE END SURVEY'!H34</f>
        <v>4</v>
      </c>
      <c r="U37" s="281">
        <f>'COURSE END SURVEY'!I34</f>
        <v>3</v>
      </c>
    </row>
    <row r="38" spans="1:21" ht="15.75" x14ac:dyDescent="0.25">
      <c r="A38" s="2">
        <v>15</v>
      </c>
      <c r="B38" s="112">
        <f>'IAT-1'!C40</f>
        <v>951323243015</v>
      </c>
      <c r="C38" s="113" t="str">
        <f>'IAT-1'!D40</f>
        <v>DEVI L</v>
      </c>
      <c r="D38" s="3"/>
      <c r="E38" s="281">
        <f>'IAT-REPORT'!P38</f>
        <v>60.9</v>
      </c>
      <c r="F38" s="281">
        <f>'IAT-REPORT'!Q38</f>
        <v>94.4</v>
      </c>
      <c r="G38" s="281">
        <f>'IAT-REPORT'!R38</f>
        <v>77.800000000000011</v>
      </c>
      <c r="H38" s="281">
        <f>'IAT-REPORT'!S38</f>
        <v>0</v>
      </c>
      <c r="I38" s="281">
        <f>'IAT-REPORT'!T38</f>
        <v>0</v>
      </c>
      <c r="J38" s="282">
        <f>RUBRICS!I38</f>
        <v>100</v>
      </c>
      <c r="K38" s="282">
        <f>RUBRICS!N38</f>
        <v>100</v>
      </c>
      <c r="L38" s="282">
        <f>RUBRICS!S38</f>
        <v>100</v>
      </c>
      <c r="M38" s="282">
        <f>RUBRICS!X38</f>
        <v>100</v>
      </c>
      <c r="N38" s="282">
        <f>RUBRICS!AC38</f>
        <v>100</v>
      </c>
      <c r="O38" s="282">
        <f>RUBRICS!AD38</f>
        <v>50</v>
      </c>
      <c r="P38" s="282">
        <f>UNIV!F35</f>
        <v>90</v>
      </c>
      <c r="Q38" s="281">
        <f>'COURSE END SURVEY'!E35</f>
        <v>4</v>
      </c>
      <c r="R38" s="281">
        <f>'COURSE END SURVEY'!F35</f>
        <v>4</v>
      </c>
      <c r="S38" s="281">
        <f>'COURSE END SURVEY'!G35</f>
        <v>4</v>
      </c>
      <c r="T38" s="281">
        <f>'COURSE END SURVEY'!H35</f>
        <v>4</v>
      </c>
      <c r="U38" s="281">
        <f>'COURSE END SURVEY'!I35</f>
        <v>4</v>
      </c>
    </row>
    <row r="39" spans="1:21" ht="15.75" x14ac:dyDescent="0.25">
      <c r="A39" s="2">
        <v>16</v>
      </c>
      <c r="B39" s="112">
        <f>'IAT-1'!C41</f>
        <v>951323243016</v>
      </c>
      <c r="C39" s="113" t="str">
        <f>'IAT-1'!D41</f>
        <v>DHARUN S</v>
      </c>
      <c r="D39" s="3"/>
      <c r="E39" s="281">
        <f>'IAT-REPORT'!P39</f>
        <v>56.5</v>
      </c>
      <c r="F39" s="281">
        <f>'IAT-REPORT'!Q39</f>
        <v>33.299999999999997</v>
      </c>
      <c r="G39" s="281">
        <f>'IAT-REPORT'!R39</f>
        <v>33.35</v>
      </c>
      <c r="H39" s="281">
        <f>'IAT-REPORT'!S39</f>
        <v>0</v>
      </c>
      <c r="I39" s="281">
        <f>'IAT-REPORT'!T39</f>
        <v>0</v>
      </c>
      <c r="J39" s="282">
        <f>RUBRICS!I39</f>
        <v>100</v>
      </c>
      <c r="K39" s="282">
        <f>RUBRICS!N39</f>
        <v>100</v>
      </c>
      <c r="L39" s="282">
        <f>RUBRICS!S39</f>
        <v>50</v>
      </c>
      <c r="M39" s="282">
        <f>RUBRICS!X39</f>
        <v>70</v>
      </c>
      <c r="N39" s="282">
        <f>RUBRICS!AC39</f>
        <v>70</v>
      </c>
      <c r="O39" s="282">
        <f>RUBRICS!AD39</f>
        <v>60</v>
      </c>
      <c r="P39" s="282">
        <f>UNIV!F36</f>
        <v>80</v>
      </c>
      <c r="Q39" s="281">
        <f>'COURSE END SURVEY'!E36</f>
        <v>3</v>
      </c>
      <c r="R39" s="281">
        <f>'COURSE END SURVEY'!F36</f>
        <v>3</v>
      </c>
      <c r="S39" s="281">
        <f>'COURSE END SURVEY'!G36</f>
        <v>4</v>
      </c>
      <c r="T39" s="281">
        <f>'COURSE END SURVEY'!H36</f>
        <v>4</v>
      </c>
      <c r="U39" s="281">
        <f>'COURSE END SURVEY'!I36</f>
        <v>3</v>
      </c>
    </row>
    <row r="40" spans="1:21" ht="15.75" x14ac:dyDescent="0.25">
      <c r="A40" s="2">
        <v>17</v>
      </c>
      <c r="B40" s="112">
        <f>'IAT-1'!C42</f>
        <v>951323243017</v>
      </c>
      <c r="C40" s="113" t="str">
        <f>'IAT-1'!D42</f>
        <v>EAKANTHALINGAM R</v>
      </c>
      <c r="D40" s="3"/>
      <c r="E40" s="281">
        <f>'IAT-REPORT'!P40</f>
        <v>47.8</v>
      </c>
      <c r="F40" s="281">
        <f>'IAT-REPORT'!Q40</f>
        <v>72.2</v>
      </c>
      <c r="G40" s="281">
        <f>'IAT-REPORT'!R40</f>
        <v>55.550000000000004</v>
      </c>
      <c r="H40" s="281">
        <f>'IAT-REPORT'!S40</f>
        <v>22.2</v>
      </c>
      <c r="I40" s="281">
        <f>'IAT-REPORT'!T40</f>
        <v>60.9</v>
      </c>
      <c r="J40" s="282">
        <f>RUBRICS!I40</f>
        <v>100</v>
      </c>
      <c r="K40" s="282">
        <f>RUBRICS!N40</f>
        <v>100</v>
      </c>
      <c r="L40" s="282">
        <f>RUBRICS!S40</f>
        <v>50</v>
      </c>
      <c r="M40" s="282">
        <f>RUBRICS!X40</f>
        <v>90</v>
      </c>
      <c r="N40" s="282">
        <f>RUBRICS!AC40</f>
        <v>70</v>
      </c>
      <c r="O40" s="282">
        <f>RUBRICS!AD40</f>
        <v>50</v>
      </c>
      <c r="P40" s="282">
        <f>UNIV!F37</f>
        <v>70</v>
      </c>
      <c r="Q40" s="281">
        <f>'COURSE END SURVEY'!E37</f>
        <v>3</v>
      </c>
      <c r="R40" s="281">
        <f>'COURSE END SURVEY'!F37</f>
        <v>3</v>
      </c>
      <c r="S40" s="281">
        <f>'COURSE END SURVEY'!G37</f>
        <v>3</v>
      </c>
      <c r="T40" s="281">
        <f>'COURSE END SURVEY'!H37</f>
        <v>3</v>
      </c>
      <c r="U40" s="281">
        <f>'COURSE END SURVEY'!I37</f>
        <v>3</v>
      </c>
    </row>
    <row r="41" spans="1:21" ht="15.75" x14ac:dyDescent="0.25">
      <c r="A41" s="2">
        <v>18</v>
      </c>
      <c r="B41" s="112">
        <f>'IAT-1'!C43</f>
        <v>951323243018</v>
      </c>
      <c r="C41" s="113" t="str">
        <f>'IAT-1'!D43</f>
        <v>EFRIN THANASEKARAN J</v>
      </c>
      <c r="D41" s="3"/>
      <c r="E41" s="281">
        <f>'IAT-REPORT'!P41</f>
        <v>73.900000000000006</v>
      </c>
      <c r="F41" s="281">
        <f>'IAT-REPORT'!Q41</f>
        <v>100</v>
      </c>
      <c r="G41" s="281">
        <f>'IAT-REPORT'!R41</f>
        <v>83.35</v>
      </c>
      <c r="H41" s="281">
        <f>'IAT-REPORT'!S41</f>
        <v>11.1</v>
      </c>
      <c r="I41" s="281">
        <f>'IAT-REPORT'!T41</f>
        <v>73.900000000000006</v>
      </c>
      <c r="J41" s="282">
        <f>RUBRICS!I41</f>
        <v>100</v>
      </c>
      <c r="K41" s="282">
        <f>RUBRICS!N41</f>
        <v>100</v>
      </c>
      <c r="L41" s="282">
        <f>RUBRICS!S41</f>
        <v>100</v>
      </c>
      <c r="M41" s="282">
        <f>RUBRICS!X41</f>
        <v>70</v>
      </c>
      <c r="N41" s="282">
        <f>RUBRICS!AC41</f>
        <v>70</v>
      </c>
      <c r="O41" s="282">
        <f>RUBRICS!AD41</f>
        <v>60</v>
      </c>
      <c r="P41" s="282">
        <f>UNIV!F38</f>
        <v>70</v>
      </c>
      <c r="Q41" s="281">
        <f>'COURSE END SURVEY'!E38</f>
        <v>4</v>
      </c>
      <c r="R41" s="281">
        <f>'COURSE END SURVEY'!F38</f>
        <v>4</v>
      </c>
      <c r="S41" s="281">
        <f>'COURSE END SURVEY'!G38</f>
        <v>4</v>
      </c>
      <c r="T41" s="281">
        <f>'COURSE END SURVEY'!H38</f>
        <v>3</v>
      </c>
      <c r="U41" s="281">
        <f>'COURSE END SURVEY'!I38</f>
        <v>3</v>
      </c>
    </row>
    <row r="42" spans="1:21" ht="15.75" x14ac:dyDescent="0.25">
      <c r="A42" s="2">
        <v>19</v>
      </c>
      <c r="B42" s="112">
        <f>'IAT-1'!C44</f>
        <v>951323243019</v>
      </c>
      <c r="C42" s="113" t="str">
        <f>'IAT-1'!D44</f>
        <v>GAYATHRI M</v>
      </c>
      <c r="D42" s="3"/>
      <c r="E42" s="281">
        <f>'IAT-REPORT'!P42</f>
        <v>82.6</v>
      </c>
      <c r="F42" s="281">
        <f>'IAT-REPORT'!Q42</f>
        <v>100</v>
      </c>
      <c r="G42" s="281">
        <f>'IAT-REPORT'!R42</f>
        <v>66.7</v>
      </c>
      <c r="H42" s="281">
        <f>'IAT-REPORT'!S42</f>
        <v>66.7</v>
      </c>
      <c r="I42" s="281">
        <f>'IAT-REPORT'!T42</f>
        <v>87</v>
      </c>
      <c r="J42" s="282">
        <f>RUBRICS!I42</f>
        <v>100</v>
      </c>
      <c r="K42" s="282">
        <f>RUBRICS!N42</f>
        <v>100</v>
      </c>
      <c r="L42" s="282">
        <f>RUBRICS!S42</f>
        <v>100</v>
      </c>
      <c r="M42" s="282">
        <f>RUBRICS!X42</f>
        <v>100</v>
      </c>
      <c r="N42" s="282">
        <f>RUBRICS!AC42</f>
        <v>70</v>
      </c>
      <c r="O42" s="282">
        <f>RUBRICS!AD42</f>
        <v>60</v>
      </c>
      <c r="P42" s="282">
        <f>UNIV!F39</f>
        <v>80</v>
      </c>
      <c r="Q42" s="281">
        <f>'COURSE END SURVEY'!E39</f>
        <v>4</v>
      </c>
      <c r="R42" s="281">
        <f>'COURSE END SURVEY'!F39</f>
        <v>4</v>
      </c>
      <c r="S42" s="281">
        <f>'COURSE END SURVEY'!G39</f>
        <v>4</v>
      </c>
      <c r="T42" s="281">
        <f>'COURSE END SURVEY'!H39</f>
        <v>4</v>
      </c>
      <c r="U42" s="281">
        <f>'COURSE END SURVEY'!I39</f>
        <v>3</v>
      </c>
    </row>
    <row r="43" spans="1:21" ht="15.75" x14ac:dyDescent="0.25">
      <c r="A43" s="2">
        <v>20</v>
      </c>
      <c r="B43" s="112">
        <f>'IAT-1'!C45</f>
        <v>951323243020</v>
      </c>
      <c r="C43" s="113" t="str">
        <f>'IAT-1'!D45</f>
        <v>GOKILA G</v>
      </c>
      <c r="D43" s="3"/>
      <c r="E43" s="281">
        <f>'IAT-REPORT'!P43</f>
        <v>100</v>
      </c>
      <c r="F43" s="281">
        <f>'IAT-REPORT'!Q43</f>
        <v>88.9</v>
      </c>
      <c r="G43" s="281">
        <f>'IAT-REPORT'!R43</f>
        <v>100</v>
      </c>
      <c r="H43" s="281">
        <f>'IAT-REPORT'!S43</f>
        <v>55.6</v>
      </c>
      <c r="I43" s="281">
        <f>'IAT-REPORT'!T43</f>
        <v>91.3</v>
      </c>
      <c r="J43" s="282">
        <f>RUBRICS!I43</f>
        <v>100</v>
      </c>
      <c r="K43" s="282">
        <f>RUBRICS!N43</f>
        <v>100</v>
      </c>
      <c r="L43" s="282">
        <f>RUBRICS!S43</f>
        <v>100</v>
      </c>
      <c r="M43" s="282">
        <f>RUBRICS!X43</f>
        <v>100</v>
      </c>
      <c r="N43" s="282">
        <f>RUBRICS!AC43</f>
        <v>90</v>
      </c>
      <c r="O43" s="282">
        <f>RUBRICS!AD43</f>
        <v>100</v>
      </c>
      <c r="P43" s="282">
        <f>UNIV!F40</f>
        <v>70</v>
      </c>
      <c r="Q43" s="281">
        <f>'COURSE END SURVEY'!E40</f>
        <v>4</v>
      </c>
      <c r="R43" s="281">
        <f>'COURSE END SURVEY'!F40</f>
        <v>4</v>
      </c>
      <c r="S43" s="281">
        <f>'COURSE END SURVEY'!G40</f>
        <v>3</v>
      </c>
      <c r="T43" s="281">
        <f>'COURSE END SURVEY'!H40</f>
        <v>4</v>
      </c>
      <c r="U43" s="281">
        <f>'COURSE END SURVEY'!I40</f>
        <v>4</v>
      </c>
    </row>
    <row r="44" spans="1:21" ht="15.75" x14ac:dyDescent="0.25">
      <c r="A44" s="2">
        <v>21</v>
      </c>
      <c r="B44" s="112">
        <f>'IAT-1'!C46</f>
        <v>951323243021</v>
      </c>
      <c r="C44" s="113" t="str">
        <f>'IAT-1'!D46</f>
        <v>GOWRI KRISHNAVENI N</v>
      </c>
      <c r="D44" s="3"/>
      <c r="E44" s="281">
        <f>'IAT-REPORT'!P44</f>
        <v>100</v>
      </c>
      <c r="F44" s="281">
        <f>'IAT-REPORT'!Q44</f>
        <v>100</v>
      </c>
      <c r="G44" s="281">
        <f>'IAT-REPORT'!R44</f>
        <v>100</v>
      </c>
      <c r="H44" s="281">
        <f>'IAT-REPORT'!S44</f>
        <v>0</v>
      </c>
      <c r="I44" s="281">
        <f>'IAT-REPORT'!T44</f>
        <v>0</v>
      </c>
      <c r="J44" s="282">
        <f>RUBRICS!I44</f>
        <v>100</v>
      </c>
      <c r="K44" s="282">
        <f>RUBRICS!N44</f>
        <v>100</v>
      </c>
      <c r="L44" s="282">
        <f>RUBRICS!S44</f>
        <v>100</v>
      </c>
      <c r="M44" s="282">
        <f>RUBRICS!X44</f>
        <v>100</v>
      </c>
      <c r="N44" s="282">
        <f>RUBRICS!AC44</f>
        <v>70</v>
      </c>
      <c r="O44" s="282">
        <f>RUBRICS!AD44</f>
        <v>60</v>
      </c>
      <c r="P44" s="282">
        <f>UNIV!F41</f>
        <v>80</v>
      </c>
      <c r="Q44" s="281">
        <f>'COURSE END SURVEY'!E41</f>
        <v>4</v>
      </c>
      <c r="R44" s="281">
        <f>'COURSE END SURVEY'!F41</f>
        <v>4</v>
      </c>
      <c r="S44" s="281">
        <f>'COURSE END SURVEY'!G41</f>
        <v>4</v>
      </c>
      <c r="T44" s="281">
        <f>'COURSE END SURVEY'!H41</f>
        <v>4</v>
      </c>
      <c r="U44" s="281">
        <f>'COURSE END SURVEY'!I41</f>
        <v>4</v>
      </c>
    </row>
    <row r="45" spans="1:21" ht="15.75" x14ac:dyDescent="0.25">
      <c r="A45" s="2">
        <v>22</v>
      </c>
      <c r="B45" s="112">
        <f>'IAT-1'!C47</f>
        <v>951323243022</v>
      </c>
      <c r="C45" s="113" t="str">
        <f>'IAT-1'!D47</f>
        <v>HEART BRIGHT MERCY S</v>
      </c>
      <c r="D45" s="3"/>
      <c r="E45" s="281">
        <f>'IAT-REPORT'!P45</f>
        <v>0</v>
      </c>
      <c r="F45" s="281">
        <f>'IAT-REPORT'!Q45</f>
        <v>0</v>
      </c>
      <c r="G45" s="281">
        <f>'IAT-REPORT'!R45</f>
        <v>44.45</v>
      </c>
      <c r="H45" s="281">
        <f>'IAT-REPORT'!S45</f>
        <v>0</v>
      </c>
      <c r="I45" s="281">
        <f>'IAT-REPORT'!T45</f>
        <v>0</v>
      </c>
      <c r="J45" s="282">
        <f>RUBRICS!I45</f>
        <v>100</v>
      </c>
      <c r="K45" s="282">
        <f>RUBRICS!N45</f>
        <v>100</v>
      </c>
      <c r="L45" s="282">
        <f>RUBRICS!S45</f>
        <v>100</v>
      </c>
      <c r="M45" s="282">
        <f>RUBRICS!X45</f>
        <v>100</v>
      </c>
      <c r="N45" s="282">
        <f>RUBRICS!AC45</f>
        <v>100</v>
      </c>
      <c r="O45" s="282">
        <f>RUBRICS!AD45</f>
        <v>60</v>
      </c>
      <c r="P45" s="282">
        <f>UNIV!F42</f>
        <v>70</v>
      </c>
      <c r="Q45" s="281">
        <f>'COURSE END SURVEY'!E42</f>
        <v>4</v>
      </c>
      <c r="R45" s="281">
        <f>'COURSE END SURVEY'!F42</f>
        <v>3</v>
      </c>
      <c r="S45" s="281">
        <f>'COURSE END SURVEY'!G42</f>
        <v>4</v>
      </c>
      <c r="T45" s="281">
        <f>'COURSE END SURVEY'!H42</f>
        <v>4</v>
      </c>
      <c r="U45" s="281">
        <f>'COURSE END SURVEY'!I42</f>
        <v>4</v>
      </c>
    </row>
    <row r="46" spans="1:21" ht="15.75" x14ac:dyDescent="0.25">
      <c r="A46" s="2">
        <v>23</v>
      </c>
      <c r="B46" s="112">
        <f>'IAT-1'!C48</f>
        <v>951323243023</v>
      </c>
      <c r="C46" s="113" t="str">
        <f>'IAT-1'!D48</f>
        <v>INFANT EBINESH R</v>
      </c>
      <c r="D46" s="3"/>
      <c r="E46" s="281">
        <f>'IAT-REPORT'!P46</f>
        <v>0</v>
      </c>
      <c r="F46" s="281">
        <f>'IAT-REPORT'!Q46</f>
        <v>0</v>
      </c>
      <c r="G46" s="281">
        <f>'IAT-REPORT'!R46</f>
        <v>5.55</v>
      </c>
      <c r="H46" s="281">
        <f>'IAT-REPORT'!S46</f>
        <v>5.6</v>
      </c>
      <c r="I46" s="281">
        <f>'IAT-REPORT'!T46</f>
        <v>13</v>
      </c>
      <c r="J46" s="282">
        <f>RUBRICS!I46</f>
        <v>50</v>
      </c>
      <c r="K46" s="282">
        <f>RUBRICS!N46</f>
        <v>50</v>
      </c>
      <c r="L46" s="282">
        <f>RUBRICS!S46</f>
        <v>50</v>
      </c>
      <c r="M46" s="282">
        <f>RUBRICS!X46</f>
        <v>70</v>
      </c>
      <c r="N46" s="282">
        <f>RUBRICS!AC46</f>
        <v>70</v>
      </c>
      <c r="O46" s="282">
        <f>RUBRICS!AD46</f>
        <v>50</v>
      </c>
      <c r="P46" s="282">
        <f>UNIV!F43</f>
        <v>60</v>
      </c>
      <c r="Q46" s="281">
        <f>'COURSE END SURVEY'!E43</f>
        <v>4</v>
      </c>
      <c r="R46" s="281">
        <f>'COURSE END SURVEY'!F43</f>
        <v>4</v>
      </c>
      <c r="S46" s="281">
        <f>'COURSE END SURVEY'!G43</f>
        <v>4</v>
      </c>
      <c r="T46" s="281">
        <f>'COURSE END SURVEY'!H43</f>
        <v>4</v>
      </c>
      <c r="U46" s="281">
        <f>'COURSE END SURVEY'!I43</f>
        <v>4</v>
      </c>
    </row>
    <row r="47" spans="1:21" ht="15.75" x14ac:dyDescent="0.25">
      <c r="A47" s="2">
        <v>24</v>
      </c>
      <c r="B47" s="112">
        <f>'IAT-1'!C49</f>
        <v>951323243024</v>
      </c>
      <c r="C47" s="113" t="str">
        <f>'IAT-1'!D49</f>
        <v>JAI SURYA N</v>
      </c>
      <c r="D47" s="3"/>
      <c r="E47" s="281">
        <f>'IAT-REPORT'!P47</f>
        <v>60.9</v>
      </c>
      <c r="F47" s="281">
        <f>'IAT-REPORT'!Q47</f>
        <v>27.8</v>
      </c>
      <c r="G47" s="281">
        <f>'IAT-REPORT'!R47</f>
        <v>66.7</v>
      </c>
      <c r="H47" s="281">
        <f>'IAT-REPORT'!S47</f>
        <v>11.1</v>
      </c>
      <c r="I47" s="281">
        <f>'IAT-REPORT'!T47</f>
        <v>60.9</v>
      </c>
      <c r="J47" s="282">
        <f>RUBRICS!I47</f>
        <v>100</v>
      </c>
      <c r="K47" s="282">
        <f>RUBRICS!N47</f>
        <v>100</v>
      </c>
      <c r="L47" s="282">
        <f>RUBRICS!S47</f>
        <v>50</v>
      </c>
      <c r="M47" s="282">
        <f>RUBRICS!X47</f>
        <v>70</v>
      </c>
      <c r="N47" s="282">
        <f>RUBRICS!AC47</f>
        <v>70</v>
      </c>
      <c r="O47" s="282">
        <f>RUBRICS!AD47</f>
        <v>60</v>
      </c>
      <c r="P47" s="282">
        <f>UNIV!F44</f>
        <v>70</v>
      </c>
      <c r="Q47" s="281">
        <f>'COURSE END SURVEY'!E44</f>
        <v>4</v>
      </c>
      <c r="R47" s="281">
        <f>'COURSE END SURVEY'!F44</f>
        <v>4</v>
      </c>
      <c r="S47" s="281">
        <f>'COURSE END SURVEY'!G44</f>
        <v>4</v>
      </c>
      <c r="T47" s="281">
        <f>'COURSE END SURVEY'!H44</f>
        <v>4</v>
      </c>
      <c r="U47" s="281">
        <f>'COURSE END SURVEY'!I44</f>
        <v>3</v>
      </c>
    </row>
    <row r="48" spans="1:21" ht="15.75" x14ac:dyDescent="0.25">
      <c r="A48" s="2">
        <v>25</v>
      </c>
      <c r="B48" s="112">
        <f>'IAT-1'!C50</f>
        <v>951323243025</v>
      </c>
      <c r="C48" s="113" t="str">
        <f>'IAT-1'!D50</f>
        <v>JANI ALICE THIRSA J</v>
      </c>
      <c r="D48" s="3"/>
      <c r="E48" s="281">
        <f>'IAT-REPORT'!P48</f>
        <v>78.3</v>
      </c>
      <c r="F48" s="281">
        <f>'IAT-REPORT'!Q48</f>
        <v>83.3</v>
      </c>
      <c r="G48" s="281">
        <f>'IAT-REPORT'!R48</f>
        <v>88.9</v>
      </c>
      <c r="H48" s="281">
        <f>'IAT-REPORT'!S48</f>
        <v>44.4</v>
      </c>
      <c r="I48" s="281">
        <f>'IAT-REPORT'!T48</f>
        <v>87</v>
      </c>
      <c r="J48" s="282">
        <f>RUBRICS!I48</f>
        <v>100</v>
      </c>
      <c r="K48" s="282">
        <f>RUBRICS!N48</f>
        <v>100</v>
      </c>
      <c r="L48" s="282">
        <f>RUBRICS!S48</f>
        <v>100</v>
      </c>
      <c r="M48" s="282">
        <f>RUBRICS!X48</f>
        <v>100</v>
      </c>
      <c r="N48" s="282">
        <f>RUBRICS!AC48</f>
        <v>70</v>
      </c>
      <c r="O48" s="282">
        <f>RUBRICS!AD48</f>
        <v>70</v>
      </c>
      <c r="P48" s="282">
        <f>UNIV!F45</f>
        <v>70</v>
      </c>
      <c r="Q48" s="281">
        <f>'COURSE END SURVEY'!E45</f>
        <v>4</v>
      </c>
      <c r="R48" s="281">
        <f>'COURSE END SURVEY'!F45</f>
        <v>4</v>
      </c>
      <c r="S48" s="281">
        <f>'COURSE END SURVEY'!G45</f>
        <v>4</v>
      </c>
      <c r="T48" s="281">
        <f>'COURSE END SURVEY'!H45</f>
        <v>4</v>
      </c>
      <c r="U48" s="281">
        <f>'COURSE END SURVEY'!I45</f>
        <v>4</v>
      </c>
    </row>
    <row r="49" spans="1:21" ht="15.75" x14ac:dyDescent="0.25">
      <c r="A49" s="2">
        <v>26</v>
      </c>
      <c r="B49" s="112">
        <f>'IAT-1'!C51</f>
        <v>951323243026</v>
      </c>
      <c r="C49" s="113" t="str">
        <f>'IAT-1'!D51</f>
        <v>JEBA A</v>
      </c>
      <c r="D49" s="3"/>
      <c r="E49" s="281">
        <f>'IAT-REPORT'!P49</f>
        <v>0</v>
      </c>
      <c r="F49" s="281">
        <f>'IAT-REPORT'!Q49</f>
        <v>0</v>
      </c>
      <c r="G49" s="281">
        <f>'IAT-REPORT'!R49</f>
        <v>100</v>
      </c>
      <c r="H49" s="281">
        <f>'IAT-REPORT'!S49</f>
        <v>88.9</v>
      </c>
      <c r="I49" s="281">
        <f>'IAT-REPORT'!T49</f>
        <v>87</v>
      </c>
      <c r="J49" s="282">
        <f>RUBRICS!I49</f>
        <v>100</v>
      </c>
      <c r="K49" s="282">
        <f>RUBRICS!N49</f>
        <v>100</v>
      </c>
      <c r="L49" s="282">
        <f>RUBRICS!S49</f>
        <v>100</v>
      </c>
      <c r="M49" s="282">
        <f>RUBRICS!X49</f>
        <v>70</v>
      </c>
      <c r="N49" s="282">
        <f>RUBRICS!AC49</f>
        <v>100</v>
      </c>
      <c r="O49" s="282">
        <f>RUBRICS!AD49</f>
        <v>60</v>
      </c>
      <c r="P49" s="282">
        <f>UNIV!F46</f>
        <v>80</v>
      </c>
      <c r="Q49" s="281">
        <f>'COURSE END SURVEY'!E46</f>
        <v>4</v>
      </c>
      <c r="R49" s="281">
        <f>'COURSE END SURVEY'!F46</f>
        <v>4</v>
      </c>
      <c r="S49" s="281">
        <f>'COURSE END SURVEY'!G46</f>
        <v>4</v>
      </c>
      <c r="T49" s="281">
        <f>'COURSE END SURVEY'!H46</f>
        <v>4</v>
      </c>
      <c r="U49" s="281">
        <f>'COURSE END SURVEY'!I46</f>
        <v>4</v>
      </c>
    </row>
    <row r="50" spans="1:21" ht="15.75" x14ac:dyDescent="0.25">
      <c r="A50" s="2">
        <v>27</v>
      </c>
      <c r="B50" s="112">
        <f>'IAT-1'!C52</f>
        <v>951323243027</v>
      </c>
      <c r="C50" s="113" t="str">
        <f>'IAT-1'!D52</f>
        <v>JENIFER E</v>
      </c>
      <c r="D50" s="3"/>
      <c r="E50" s="281">
        <f>'IAT-REPORT'!P50</f>
        <v>0</v>
      </c>
      <c r="F50" s="281">
        <f>'IAT-REPORT'!Q50</f>
        <v>0</v>
      </c>
      <c r="G50" s="281">
        <f>'IAT-REPORT'!R50</f>
        <v>50</v>
      </c>
      <c r="H50" s="281">
        <f>'IAT-REPORT'!S50</f>
        <v>94.4</v>
      </c>
      <c r="I50" s="281">
        <f>'IAT-REPORT'!T50</f>
        <v>100</v>
      </c>
      <c r="J50" s="282">
        <f>RUBRICS!I50</f>
        <v>100</v>
      </c>
      <c r="K50" s="282">
        <f>RUBRICS!N50</f>
        <v>100</v>
      </c>
      <c r="L50" s="282">
        <f>RUBRICS!S50</f>
        <v>100</v>
      </c>
      <c r="M50" s="282">
        <f>RUBRICS!X50</f>
        <v>100</v>
      </c>
      <c r="N50" s="282">
        <f>RUBRICS!AC50</f>
        <v>90</v>
      </c>
      <c r="O50" s="282">
        <f>RUBRICS!AD50</f>
        <v>50</v>
      </c>
      <c r="P50" s="282">
        <f>UNIV!F47</f>
        <v>80</v>
      </c>
      <c r="Q50" s="281">
        <f>'COURSE END SURVEY'!E47</f>
        <v>4</v>
      </c>
      <c r="R50" s="281">
        <f>'COURSE END SURVEY'!F47</f>
        <v>4</v>
      </c>
      <c r="S50" s="281">
        <f>'COURSE END SURVEY'!G47</f>
        <v>4</v>
      </c>
      <c r="T50" s="281">
        <f>'COURSE END SURVEY'!H47</f>
        <v>4</v>
      </c>
      <c r="U50" s="281">
        <f>'COURSE END SURVEY'!I47</f>
        <v>4</v>
      </c>
    </row>
    <row r="51" spans="1:21" ht="15.75" x14ac:dyDescent="0.25">
      <c r="A51" s="2">
        <v>28</v>
      </c>
      <c r="B51" s="112">
        <f>'IAT-1'!C53</f>
        <v>951323243028</v>
      </c>
      <c r="C51" s="113" t="str">
        <f>'IAT-1'!D53</f>
        <v>JENITTA CATHERIN R</v>
      </c>
      <c r="D51" s="3"/>
      <c r="E51" s="281">
        <f>'IAT-REPORT'!P51</f>
        <v>78.3</v>
      </c>
      <c r="F51" s="281">
        <f>'IAT-REPORT'!Q51</f>
        <v>44.4</v>
      </c>
      <c r="G51" s="281">
        <f>'IAT-REPORT'!R51</f>
        <v>88.9</v>
      </c>
      <c r="H51" s="281">
        <f>'IAT-REPORT'!S51</f>
        <v>44.4</v>
      </c>
      <c r="I51" s="281">
        <f>'IAT-REPORT'!T51</f>
        <v>78.3</v>
      </c>
      <c r="J51" s="282">
        <f>RUBRICS!I51</f>
        <v>100</v>
      </c>
      <c r="K51" s="282">
        <f>RUBRICS!N51</f>
        <v>100</v>
      </c>
      <c r="L51" s="282">
        <f>RUBRICS!S51</f>
        <v>100</v>
      </c>
      <c r="M51" s="282">
        <f>RUBRICS!X51</f>
        <v>100</v>
      </c>
      <c r="N51" s="282">
        <f>RUBRICS!AC51</f>
        <v>70</v>
      </c>
      <c r="O51" s="282">
        <f>RUBRICS!AD51</f>
        <v>90</v>
      </c>
      <c r="P51" s="282">
        <f>UNIV!F48</f>
        <v>70</v>
      </c>
      <c r="Q51" s="281">
        <f>'COURSE END SURVEY'!E48</f>
        <v>4</v>
      </c>
      <c r="R51" s="281">
        <f>'COURSE END SURVEY'!F48</f>
        <v>4</v>
      </c>
      <c r="S51" s="281">
        <f>'COURSE END SURVEY'!G48</f>
        <v>4</v>
      </c>
      <c r="T51" s="281">
        <f>'COURSE END SURVEY'!H48</f>
        <v>4</v>
      </c>
      <c r="U51" s="281">
        <f>'COURSE END SURVEY'!I48</f>
        <v>4</v>
      </c>
    </row>
    <row r="52" spans="1:21" ht="15.75" x14ac:dyDescent="0.25">
      <c r="A52" s="2">
        <v>29</v>
      </c>
      <c r="B52" s="112">
        <f>'IAT-1'!C54</f>
        <v>951323243029</v>
      </c>
      <c r="C52" s="113" t="str">
        <f>'IAT-1'!D54</f>
        <v>JEYACHITHRA K</v>
      </c>
      <c r="D52" s="6"/>
      <c r="E52" s="281">
        <f>'IAT-REPORT'!P52</f>
        <v>0</v>
      </c>
      <c r="F52" s="281">
        <f>'IAT-REPORT'!Q52</f>
        <v>0</v>
      </c>
      <c r="G52" s="281">
        <f>'IAT-REPORT'!R52</f>
        <v>100</v>
      </c>
      <c r="H52" s="281">
        <f>'IAT-REPORT'!S52</f>
        <v>0</v>
      </c>
      <c r="I52" s="281">
        <f>'IAT-REPORT'!T52</f>
        <v>100</v>
      </c>
      <c r="J52" s="282">
        <f>RUBRICS!I52</f>
        <v>100</v>
      </c>
      <c r="K52" s="282">
        <f>RUBRICS!N52</f>
        <v>100</v>
      </c>
      <c r="L52" s="282">
        <f>RUBRICS!S52</f>
        <v>70</v>
      </c>
      <c r="M52" s="282">
        <f>RUBRICS!X52</f>
        <v>100</v>
      </c>
      <c r="N52" s="282">
        <f>RUBRICS!AC52</f>
        <v>100</v>
      </c>
      <c r="O52" s="282">
        <f>RUBRICS!AD52</f>
        <v>50</v>
      </c>
      <c r="P52" s="282">
        <f>UNIV!F49</f>
        <v>80</v>
      </c>
      <c r="Q52" s="281">
        <f>'COURSE END SURVEY'!E49</f>
        <v>4</v>
      </c>
      <c r="R52" s="281">
        <f>'COURSE END SURVEY'!F49</f>
        <v>4</v>
      </c>
      <c r="S52" s="281">
        <f>'COURSE END SURVEY'!G49</f>
        <v>4</v>
      </c>
      <c r="T52" s="281">
        <f>'COURSE END SURVEY'!H49</f>
        <v>4</v>
      </c>
      <c r="U52" s="281">
        <f>'COURSE END SURVEY'!I49</f>
        <v>4</v>
      </c>
    </row>
    <row r="53" spans="1:21" ht="15.75" x14ac:dyDescent="0.25">
      <c r="A53" s="2">
        <v>30</v>
      </c>
      <c r="B53" s="112">
        <f>'IAT-1'!C55</f>
        <v>951323243030</v>
      </c>
      <c r="C53" s="113" t="str">
        <f>'IAT-1'!D55</f>
        <v>JOSVA PRINCE R</v>
      </c>
      <c r="D53" s="3"/>
      <c r="E53" s="281">
        <f>'IAT-REPORT'!P53</f>
        <v>0</v>
      </c>
      <c r="F53" s="281">
        <f>'IAT-REPORT'!Q53</f>
        <v>0</v>
      </c>
      <c r="G53" s="281">
        <f>'IAT-REPORT'!R53</f>
        <v>5.55</v>
      </c>
      <c r="H53" s="281">
        <f>'IAT-REPORT'!S53</f>
        <v>0</v>
      </c>
      <c r="I53" s="281">
        <f>'IAT-REPORT'!T53</f>
        <v>39.1</v>
      </c>
      <c r="J53" s="282">
        <f>RUBRICS!I53</f>
        <v>100</v>
      </c>
      <c r="K53" s="282">
        <f>RUBRICS!N53</f>
        <v>100</v>
      </c>
      <c r="L53" s="282">
        <f>RUBRICS!S53</f>
        <v>70</v>
      </c>
      <c r="M53" s="282">
        <f>RUBRICS!X53</f>
        <v>70</v>
      </c>
      <c r="N53" s="282">
        <f>RUBRICS!AC53</f>
        <v>70</v>
      </c>
      <c r="O53" s="282">
        <f>RUBRICS!AD53</f>
        <v>60</v>
      </c>
      <c r="P53" s="282">
        <f>UNIV!F50</f>
        <v>70</v>
      </c>
      <c r="Q53" s="281">
        <f>'COURSE END SURVEY'!E50</f>
        <v>3</v>
      </c>
      <c r="R53" s="281">
        <f>'COURSE END SURVEY'!F50</f>
        <v>3</v>
      </c>
      <c r="S53" s="281">
        <f>'COURSE END SURVEY'!G50</f>
        <v>3</v>
      </c>
      <c r="T53" s="281">
        <f>'COURSE END SURVEY'!H50</f>
        <v>4</v>
      </c>
      <c r="U53" s="281">
        <f>'COURSE END SURVEY'!I50</f>
        <v>4</v>
      </c>
    </row>
    <row r="54" spans="1:21" ht="15.75" x14ac:dyDescent="0.25">
      <c r="A54" s="2">
        <v>31</v>
      </c>
      <c r="B54" s="112">
        <f>'IAT-1'!C56</f>
        <v>951323243031</v>
      </c>
      <c r="C54" s="113" t="str">
        <f>'IAT-1'!D56</f>
        <v>KALAI SELVAN VINOTH P</v>
      </c>
      <c r="D54" s="3"/>
      <c r="E54" s="281">
        <f>'IAT-REPORT'!P54</f>
        <v>78.3</v>
      </c>
      <c r="F54" s="281">
        <f>'IAT-REPORT'!Q54</f>
        <v>38.9</v>
      </c>
      <c r="G54" s="281">
        <f>'IAT-REPORT'!R54</f>
        <v>11.1</v>
      </c>
      <c r="H54" s="281">
        <f>'IAT-REPORT'!S54</f>
        <v>11.1</v>
      </c>
      <c r="I54" s="281">
        <f>'IAT-REPORT'!T54</f>
        <v>82.6</v>
      </c>
      <c r="J54" s="282">
        <f>RUBRICS!I54</f>
        <v>100</v>
      </c>
      <c r="K54" s="282">
        <f>RUBRICS!N54</f>
        <v>100</v>
      </c>
      <c r="L54" s="282">
        <f>RUBRICS!S54</f>
        <v>100</v>
      </c>
      <c r="M54" s="282">
        <f>RUBRICS!X54</f>
        <v>70</v>
      </c>
      <c r="N54" s="282">
        <f>RUBRICS!AC54</f>
        <v>70</v>
      </c>
      <c r="O54" s="282">
        <f>RUBRICS!AD54</f>
        <v>60</v>
      </c>
      <c r="P54" s="282">
        <f>UNIV!F51</f>
        <v>70</v>
      </c>
      <c r="Q54" s="281">
        <f>'COURSE END SURVEY'!E51</f>
        <v>4</v>
      </c>
      <c r="R54" s="281">
        <f>'COURSE END SURVEY'!F51</f>
        <v>4</v>
      </c>
      <c r="S54" s="281">
        <f>'COURSE END SURVEY'!G51</f>
        <v>4</v>
      </c>
      <c r="T54" s="281">
        <f>'COURSE END SURVEY'!H51</f>
        <v>4</v>
      </c>
      <c r="U54" s="281">
        <f>'COURSE END SURVEY'!I51</f>
        <v>4</v>
      </c>
    </row>
    <row r="55" spans="1:21" ht="15.75" x14ac:dyDescent="0.25">
      <c r="A55" s="2">
        <v>32</v>
      </c>
      <c r="B55" s="112">
        <f>'IAT-1'!C57</f>
        <v>951323243032</v>
      </c>
      <c r="C55" s="113" t="str">
        <f>'IAT-1'!D57</f>
        <v>LAKSHMANAN SARATHI S</v>
      </c>
      <c r="D55" s="3"/>
      <c r="E55" s="281">
        <f>'IAT-REPORT'!P55</f>
        <v>69.599999999999994</v>
      </c>
      <c r="F55" s="281">
        <f>'IAT-REPORT'!Q55</f>
        <v>83.3</v>
      </c>
      <c r="G55" s="281">
        <f>'IAT-REPORT'!R55</f>
        <v>61.150000000000006</v>
      </c>
      <c r="H55" s="281">
        <f>'IAT-REPORT'!S55</f>
        <v>22.2</v>
      </c>
      <c r="I55" s="281">
        <f>'IAT-REPORT'!T55</f>
        <v>82.6</v>
      </c>
      <c r="J55" s="282">
        <f>RUBRICS!I55</f>
        <v>100</v>
      </c>
      <c r="K55" s="282">
        <f>RUBRICS!N55</f>
        <v>100</v>
      </c>
      <c r="L55" s="282">
        <f>RUBRICS!S55</f>
        <v>100</v>
      </c>
      <c r="M55" s="282">
        <f>RUBRICS!X55</f>
        <v>70</v>
      </c>
      <c r="N55" s="282">
        <f>RUBRICS!AC55</f>
        <v>70</v>
      </c>
      <c r="O55" s="282">
        <f>RUBRICS!AD55</f>
        <v>70</v>
      </c>
      <c r="P55" s="282">
        <f>UNIV!F52</f>
        <v>70</v>
      </c>
      <c r="Q55" s="281">
        <f>'COURSE END SURVEY'!E52</f>
        <v>4</v>
      </c>
      <c r="R55" s="281">
        <f>'COURSE END SURVEY'!F52</f>
        <v>4</v>
      </c>
      <c r="S55" s="281">
        <f>'COURSE END SURVEY'!G52</f>
        <v>4</v>
      </c>
      <c r="T55" s="281">
        <f>'COURSE END SURVEY'!H52</f>
        <v>4</v>
      </c>
      <c r="U55" s="281">
        <f>'COURSE END SURVEY'!I52</f>
        <v>4</v>
      </c>
    </row>
    <row r="56" spans="1:21" ht="15.75" x14ac:dyDescent="0.25">
      <c r="A56" s="2">
        <v>33</v>
      </c>
      <c r="B56" s="112">
        <f>'IAT-1'!C58</f>
        <v>951323243033</v>
      </c>
      <c r="C56" s="113" t="str">
        <f>'IAT-1'!D58</f>
        <v>LIJO DURAISINGH V S</v>
      </c>
      <c r="D56" s="3"/>
      <c r="E56" s="281">
        <f>'IAT-REPORT'!P56</f>
        <v>69.599999999999994</v>
      </c>
      <c r="F56" s="281">
        <f>'IAT-REPORT'!Q56</f>
        <v>50</v>
      </c>
      <c r="G56" s="281">
        <f>'IAT-REPORT'!R56</f>
        <v>72.25</v>
      </c>
      <c r="H56" s="281">
        <f>'IAT-REPORT'!S56</f>
        <v>22.2</v>
      </c>
      <c r="I56" s="281">
        <f>'IAT-REPORT'!T56</f>
        <v>82.6</v>
      </c>
      <c r="J56" s="282">
        <f>RUBRICS!I56</f>
        <v>100</v>
      </c>
      <c r="K56" s="282">
        <f>RUBRICS!N56</f>
        <v>100</v>
      </c>
      <c r="L56" s="282">
        <f>RUBRICS!S56</f>
        <v>100</v>
      </c>
      <c r="M56" s="282">
        <f>RUBRICS!X56</f>
        <v>70</v>
      </c>
      <c r="N56" s="282">
        <f>RUBRICS!AC56</f>
        <v>70</v>
      </c>
      <c r="O56" s="282">
        <f>RUBRICS!AD56</f>
        <v>60</v>
      </c>
      <c r="P56" s="282">
        <f>UNIV!F53</f>
        <v>70</v>
      </c>
      <c r="Q56" s="281">
        <f>'COURSE END SURVEY'!E53</f>
        <v>4</v>
      </c>
      <c r="R56" s="281">
        <f>'COURSE END SURVEY'!F53</f>
        <v>4</v>
      </c>
      <c r="S56" s="281">
        <f>'COURSE END SURVEY'!G53</f>
        <v>4</v>
      </c>
      <c r="T56" s="281">
        <f>'COURSE END SURVEY'!H53</f>
        <v>4</v>
      </c>
      <c r="U56" s="281">
        <f>'COURSE END SURVEY'!I53</f>
        <v>4</v>
      </c>
    </row>
    <row r="57" spans="1:21" ht="15.75" x14ac:dyDescent="0.25">
      <c r="A57" s="2">
        <v>34</v>
      </c>
      <c r="B57" s="112">
        <f>'IAT-1'!C59</f>
        <v>951323243034</v>
      </c>
      <c r="C57" s="113" t="str">
        <f>'IAT-1'!D59</f>
        <v>LOVISAL JOY K</v>
      </c>
      <c r="D57" s="3"/>
      <c r="E57" s="281">
        <f>'IAT-REPORT'!P57</f>
        <v>91.3</v>
      </c>
      <c r="F57" s="281">
        <f>'IAT-REPORT'!Q57</f>
        <v>100</v>
      </c>
      <c r="G57" s="281">
        <f>'IAT-REPORT'!R57</f>
        <v>94.45</v>
      </c>
      <c r="H57" s="281">
        <f>'IAT-REPORT'!S57</f>
        <v>77.8</v>
      </c>
      <c r="I57" s="281">
        <f>'IAT-REPORT'!T57</f>
        <v>87</v>
      </c>
      <c r="J57" s="282">
        <f>RUBRICS!I57</f>
        <v>100</v>
      </c>
      <c r="K57" s="282">
        <f>RUBRICS!N57</f>
        <v>100</v>
      </c>
      <c r="L57" s="282">
        <f>RUBRICS!S57</f>
        <v>100</v>
      </c>
      <c r="M57" s="282">
        <f>RUBRICS!X57</f>
        <v>100</v>
      </c>
      <c r="N57" s="282">
        <f>RUBRICS!AC57</f>
        <v>70</v>
      </c>
      <c r="O57" s="282">
        <f>RUBRICS!AD57</f>
        <v>50</v>
      </c>
      <c r="P57" s="282">
        <f>UNIV!F54</f>
        <v>70</v>
      </c>
      <c r="Q57" s="281">
        <f>'COURSE END SURVEY'!E54</f>
        <v>4</v>
      </c>
      <c r="R57" s="281">
        <f>'COURSE END SURVEY'!F54</f>
        <v>3</v>
      </c>
      <c r="S57" s="281">
        <f>'COURSE END SURVEY'!G54</f>
        <v>4</v>
      </c>
      <c r="T57" s="281">
        <f>'COURSE END SURVEY'!H54</f>
        <v>3</v>
      </c>
      <c r="U57" s="281">
        <f>'COURSE END SURVEY'!I54</f>
        <v>4</v>
      </c>
    </row>
    <row r="58" spans="1:21" ht="15.75" x14ac:dyDescent="0.25">
      <c r="A58" s="2">
        <v>35</v>
      </c>
      <c r="B58" s="112">
        <f>'IAT-1'!C60</f>
        <v>951323243035</v>
      </c>
      <c r="C58" s="113" t="str">
        <f>'IAT-1'!D60</f>
        <v>MAGESH GOWRI S</v>
      </c>
      <c r="D58" s="3"/>
      <c r="E58" s="281">
        <f>'IAT-REPORT'!P58</f>
        <v>56.5</v>
      </c>
      <c r="F58" s="281">
        <f>'IAT-REPORT'!Q58</f>
        <v>94.4</v>
      </c>
      <c r="G58" s="281">
        <f>'IAT-REPORT'!R58</f>
        <v>83.35</v>
      </c>
      <c r="H58" s="281">
        <f>'IAT-REPORT'!S58</f>
        <v>88.9</v>
      </c>
      <c r="I58" s="281">
        <f>'IAT-REPORT'!T58</f>
        <v>69.599999999999994</v>
      </c>
      <c r="J58" s="282">
        <f>RUBRICS!I58</f>
        <v>100</v>
      </c>
      <c r="K58" s="282">
        <f>RUBRICS!N58</f>
        <v>100</v>
      </c>
      <c r="L58" s="282">
        <f>RUBRICS!S58</f>
        <v>100</v>
      </c>
      <c r="M58" s="282">
        <f>RUBRICS!X58</f>
        <v>100</v>
      </c>
      <c r="N58" s="282">
        <f>RUBRICS!AC58</f>
        <v>70</v>
      </c>
      <c r="O58" s="282">
        <f>RUBRICS!AD58</f>
        <v>90</v>
      </c>
      <c r="P58" s="282">
        <f>UNIV!F55</f>
        <v>70</v>
      </c>
      <c r="Q58" s="281">
        <f>'COURSE END SURVEY'!E55</f>
        <v>4</v>
      </c>
      <c r="R58" s="281">
        <f>'COURSE END SURVEY'!F55</f>
        <v>4</v>
      </c>
      <c r="S58" s="281">
        <f>'COURSE END SURVEY'!G55</f>
        <v>4</v>
      </c>
      <c r="T58" s="281">
        <f>'COURSE END SURVEY'!H55</f>
        <v>4</v>
      </c>
      <c r="U58" s="281">
        <f>'COURSE END SURVEY'!I55</f>
        <v>3</v>
      </c>
    </row>
    <row r="59" spans="1:21" ht="15.75" x14ac:dyDescent="0.25">
      <c r="A59" s="2">
        <v>36</v>
      </c>
      <c r="B59" s="112">
        <f>'IAT-1'!C61</f>
        <v>951323243036</v>
      </c>
      <c r="C59" s="113" t="str">
        <f>'IAT-1'!D61</f>
        <v>MARIMUTHU S</v>
      </c>
      <c r="D59" s="3"/>
      <c r="E59" s="281">
        <f>'IAT-REPORT'!P59</f>
        <v>0</v>
      </c>
      <c r="F59" s="281">
        <f>'IAT-REPORT'!Q59</f>
        <v>0</v>
      </c>
      <c r="G59" s="281">
        <f>'IAT-REPORT'!R59</f>
        <v>50</v>
      </c>
      <c r="H59" s="281">
        <f>'IAT-REPORT'!S59</f>
        <v>16.7</v>
      </c>
      <c r="I59" s="281">
        <f>'IAT-REPORT'!T59</f>
        <v>73.900000000000006</v>
      </c>
      <c r="J59" s="282">
        <f>RUBRICS!I59</f>
        <v>100</v>
      </c>
      <c r="K59" s="282">
        <f>RUBRICS!N59</f>
        <v>100</v>
      </c>
      <c r="L59" s="282">
        <f>RUBRICS!S59</f>
        <v>100</v>
      </c>
      <c r="M59" s="282">
        <f>RUBRICS!X59</f>
        <v>100</v>
      </c>
      <c r="N59" s="282">
        <f>RUBRICS!AC59</f>
        <v>70</v>
      </c>
      <c r="O59" s="282">
        <f>RUBRICS!AD59</f>
        <v>60</v>
      </c>
      <c r="P59" s="282">
        <f>UNIV!F56</f>
        <v>70</v>
      </c>
      <c r="Q59" s="281">
        <f>'COURSE END SURVEY'!E56</f>
        <v>4</v>
      </c>
      <c r="R59" s="281">
        <f>'COURSE END SURVEY'!F56</f>
        <v>4</v>
      </c>
      <c r="S59" s="281">
        <f>'COURSE END SURVEY'!G56</f>
        <v>4</v>
      </c>
      <c r="T59" s="281">
        <f>'COURSE END SURVEY'!H56</f>
        <v>4</v>
      </c>
      <c r="U59" s="281">
        <f>'COURSE END SURVEY'!I56</f>
        <v>4</v>
      </c>
    </row>
    <row r="60" spans="1:21" ht="15.75" x14ac:dyDescent="0.25">
      <c r="A60" s="2">
        <v>37</v>
      </c>
      <c r="B60" s="112">
        <f>'IAT-1'!C62</f>
        <v>951323243037</v>
      </c>
      <c r="C60" s="113" t="str">
        <f>'IAT-1'!D62</f>
        <v>MARIYA FATHIMA JEYARANI R</v>
      </c>
      <c r="D60" s="3"/>
      <c r="E60" s="281">
        <f>'IAT-REPORT'!P60</f>
        <v>0</v>
      </c>
      <c r="F60" s="281">
        <f>'IAT-REPORT'!Q60</f>
        <v>0</v>
      </c>
      <c r="G60" s="281">
        <f>'IAT-REPORT'!R60</f>
        <v>44.45</v>
      </c>
      <c r="H60" s="281">
        <f>'IAT-REPORT'!S60</f>
        <v>66.7</v>
      </c>
      <c r="I60" s="281">
        <f>'IAT-REPORT'!T60</f>
        <v>69.599999999999994</v>
      </c>
      <c r="J60" s="282">
        <f>RUBRICS!I60</f>
        <v>100</v>
      </c>
      <c r="K60" s="282">
        <f>RUBRICS!N60</f>
        <v>100</v>
      </c>
      <c r="L60" s="282">
        <f>RUBRICS!S60</f>
        <v>50</v>
      </c>
      <c r="M60" s="282">
        <f>RUBRICS!X60</f>
        <v>100</v>
      </c>
      <c r="N60" s="282">
        <f>RUBRICS!AC60</f>
        <v>70</v>
      </c>
      <c r="O60" s="282">
        <f>RUBRICS!AD60</f>
        <v>100</v>
      </c>
      <c r="P60" s="282">
        <f>UNIV!F57</f>
        <v>70</v>
      </c>
      <c r="Q60" s="281">
        <f>'COURSE END SURVEY'!E57</f>
        <v>4</v>
      </c>
      <c r="R60" s="281">
        <f>'COURSE END SURVEY'!F57</f>
        <v>4</v>
      </c>
      <c r="S60" s="281">
        <f>'COURSE END SURVEY'!G57</f>
        <v>4</v>
      </c>
      <c r="T60" s="281">
        <f>'COURSE END SURVEY'!H57</f>
        <v>4</v>
      </c>
      <c r="U60" s="281">
        <f>'COURSE END SURVEY'!I57</f>
        <v>4</v>
      </c>
    </row>
    <row r="61" spans="1:21" ht="15.75" x14ac:dyDescent="0.25">
      <c r="A61" s="2">
        <v>38</v>
      </c>
      <c r="B61" s="112">
        <f>'IAT-1'!C63</f>
        <v>951323243038</v>
      </c>
      <c r="C61" s="113" t="str">
        <f>'IAT-1'!D63</f>
        <v>MARTIN PRISCA D</v>
      </c>
      <c r="D61" s="3"/>
      <c r="E61" s="281">
        <f>'IAT-REPORT'!P61</f>
        <v>52.2</v>
      </c>
      <c r="F61" s="281">
        <f>'IAT-REPORT'!Q61</f>
        <v>77.8</v>
      </c>
      <c r="G61" s="281">
        <f>'IAT-REPORT'!R61</f>
        <v>72.25</v>
      </c>
      <c r="H61" s="281">
        <f>'IAT-REPORT'!S61</f>
        <v>55.6</v>
      </c>
      <c r="I61" s="281">
        <f>'IAT-REPORT'!T61</f>
        <v>60.9</v>
      </c>
      <c r="J61" s="282">
        <f>RUBRICS!I61</f>
        <v>100</v>
      </c>
      <c r="K61" s="282">
        <f>RUBRICS!N61</f>
        <v>100</v>
      </c>
      <c r="L61" s="282">
        <f>RUBRICS!S61</f>
        <v>100</v>
      </c>
      <c r="M61" s="282">
        <f>RUBRICS!X61</f>
        <v>100</v>
      </c>
      <c r="N61" s="282">
        <f>RUBRICS!AC61</f>
        <v>100</v>
      </c>
      <c r="O61" s="282">
        <f>RUBRICS!AD61</f>
        <v>100</v>
      </c>
      <c r="P61" s="282">
        <f>UNIV!F58</f>
        <v>70</v>
      </c>
      <c r="Q61" s="281">
        <f>'COURSE END SURVEY'!E58</f>
        <v>4</v>
      </c>
      <c r="R61" s="281">
        <f>'COURSE END SURVEY'!F58</f>
        <v>4</v>
      </c>
      <c r="S61" s="281">
        <f>'COURSE END SURVEY'!G58</f>
        <v>4</v>
      </c>
      <c r="T61" s="281">
        <f>'COURSE END SURVEY'!H58</f>
        <v>4</v>
      </c>
      <c r="U61" s="281">
        <f>'COURSE END SURVEY'!I58</f>
        <v>4</v>
      </c>
    </row>
    <row r="62" spans="1:21" ht="15.75" x14ac:dyDescent="0.25">
      <c r="A62" s="2">
        <v>39</v>
      </c>
      <c r="B62" s="112">
        <f>'IAT-1'!C64</f>
        <v>951323243039</v>
      </c>
      <c r="C62" s="113" t="str">
        <f>'IAT-1'!D64</f>
        <v>MERLIN HEPSIBA K</v>
      </c>
      <c r="D62" s="3"/>
      <c r="E62" s="281">
        <f>'IAT-REPORT'!P62</f>
        <v>100</v>
      </c>
      <c r="F62" s="281">
        <f>'IAT-REPORT'!Q62</f>
        <v>88.9</v>
      </c>
      <c r="G62" s="281">
        <f>'IAT-REPORT'!R62</f>
        <v>88.9</v>
      </c>
      <c r="H62" s="281">
        <f>'IAT-REPORT'!S62</f>
        <v>88.9</v>
      </c>
      <c r="I62" s="281">
        <f>'IAT-REPORT'!T62</f>
        <v>91.3</v>
      </c>
      <c r="J62" s="282">
        <f>RUBRICS!I62</f>
        <v>100</v>
      </c>
      <c r="K62" s="282">
        <f>RUBRICS!N62</f>
        <v>100</v>
      </c>
      <c r="L62" s="282">
        <f>RUBRICS!S62</f>
        <v>100</v>
      </c>
      <c r="M62" s="282">
        <f>RUBRICS!X62</f>
        <v>100</v>
      </c>
      <c r="N62" s="282">
        <f>RUBRICS!AC62</f>
        <v>70</v>
      </c>
      <c r="O62" s="282">
        <f>RUBRICS!AD62</f>
        <v>60</v>
      </c>
      <c r="P62" s="282">
        <f>UNIV!F59</f>
        <v>100</v>
      </c>
      <c r="Q62" s="281">
        <f>'COURSE END SURVEY'!E59</f>
        <v>4</v>
      </c>
      <c r="R62" s="281">
        <f>'COURSE END SURVEY'!F59</f>
        <v>3</v>
      </c>
      <c r="S62" s="281">
        <f>'COURSE END SURVEY'!G59</f>
        <v>4</v>
      </c>
      <c r="T62" s="281">
        <f>'COURSE END SURVEY'!H59</f>
        <v>4</v>
      </c>
      <c r="U62" s="281">
        <f>'COURSE END SURVEY'!I59</f>
        <v>4</v>
      </c>
    </row>
    <row r="63" spans="1:21" ht="15.75" x14ac:dyDescent="0.25">
      <c r="A63" s="2">
        <v>41</v>
      </c>
      <c r="B63" s="112">
        <f>'IAT-1'!C65</f>
        <v>951323243042</v>
      </c>
      <c r="C63" s="113" t="str">
        <f>'IAT-1'!D65</f>
        <v>MUTHUPRASANNA M</v>
      </c>
      <c r="D63" s="3"/>
      <c r="E63" s="281">
        <f>'IAT-REPORT'!P63</f>
        <v>87</v>
      </c>
      <c r="F63" s="281">
        <f>'IAT-REPORT'!Q63</f>
        <v>66.7</v>
      </c>
      <c r="G63" s="281">
        <f>'IAT-REPORT'!R63</f>
        <v>94.45</v>
      </c>
      <c r="H63" s="281">
        <f>'IAT-REPORT'!S63</f>
        <v>88.9</v>
      </c>
      <c r="I63" s="281">
        <f>'IAT-REPORT'!T63</f>
        <v>95.7</v>
      </c>
      <c r="J63" s="282">
        <f>RUBRICS!I63</f>
        <v>100</v>
      </c>
      <c r="K63" s="282">
        <f>RUBRICS!N63</f>
        <v>100</v>
      </c>
      <c r="L63" s="282">
        <f>RUBRICS!S63</f>
        <v>100</v>
      </c>
      <c r="M63" s="282">
        <f>RUBRICS!X63</f>
        <v>70</v>
      </c>
      <c r="N63" s="282">
        <f>RUBRICS!AC63</f>
        <v>100</v>
      </c>
      <c r="O63" s="282">
        <f>RUBRICS!AD63</f>
        <v>60</v>
      </c>
      <c r="P63" s="282">
        <f>UNIV!F60</f>
        <v>70</v>
      </c>
      <c r="Q63" s="281">
        <f>'COURSE END SURVEY'!E60</f>
        <v>4</v>
      </c>
      <c r="R63" s="281">
        <f>'COURSE END SURVEY'!F60</f>
        <v>4</v>
      </c>
      <c r="S63" s="281">
        <f>'COURSE END SURVEY'!G60</f>
        <v>3</v>
      </c>
      <c r="T63" s="281">
        <f>'COURSE END SURVEY'!H60</f>
        <v>3</v>
      </c>
      <c r="U63" s="281">
        <f>'COURSE END SURVEY'!I60</f>
        <v>4</v>
      </c>
    </row>
    <row r="64" spans="1:21" ht="15.75" x14ac:dyDescent="0.25">
      <c r="A64" s="2">
        <v>42</v>
      </c>
      <c r="B64" s="112">
        <f>'IAT-1'!C66</f>
        <v>951323243043</v>
      </c>
      <c r="C64" s="113" t="str">
        <f>'IAT-1'!D66</f>
        <v>MUTHURAJ M</v>
      </c>
      <c r="D64" s="3"/>
      <c r="E64" s="281">
        <f>'IAT-REPORT'!P64</f>
        <v>52.2</v>
      </c>
      <c r="F64" s="281">
        <f>'IAT-REPORT'!Q64</f>
        <v>50</v>
      </c>
      <c r="G64" s="281">
        <f>'IAT-REPORT'!R64</f>
        <v>44.45</v>
      </c>
      <c r="H64" s="281">
        <f>'IAT-REPORT'!S64</f>
        <v>16.7</v>
      </c>
      <c r="I64" s="281">
        <f>'IAT-REPORT'!T64</f>
        <v>73.900000000000006</v>
      </c>
      <c r="J64" s="282">
        <f>RUBRICS!I64</f>
        <v>100</v>
      </c>
      <c r="K64" s="282">
        <f>RUBRICS!N64</f>
        <v>100</v>
      </c>
      <c r="L64" s="282">
        <f>RUBRICS!S64</f>
        <v>50</v>
      </c>
      <c r="M64" s="282">
        <f>RUBRICS!X64</f>
        <v>100</v>
      </c>
      <c r="N64" s="282">
        <f>RUBRICS!AC64</f>
        <v>70</v>
      </c>
      <c r="O64" s="282">
        <f>RUBRICS!AD64</f>
        <v>60</v>
      </c>
      <c r="P64" s="282">
        <f>UNIV!F61</f>
        <v>70</v>
      </c>
      <c r="Q64" s="281">
        <f>'COURSE END SURVEY'!E61</f>
        <v>4</v>
      </c>
      <c r="R64" s="281">
        <f>'COURSE END SURVEY'!F61</f>
        <v>4</v>
      </c>
      <c r="S64" s="281">
        <f>'COURSE END SURVEY'!G61</f>
        <v>4</v>
      </c>
      <c r="T64" s="281">
        <f>'COURSE END SURVEY'!H61</f>
        <v>4</v>
      </c>
      <c r="U64" s="281">
        <f>'COURSE END SURVEY'!I61</f>
        <v>4</v>
      </c>
    </row>
    <row r="65" spans="1:21" ht="15.75" x14ac:dyDescent="0.25">
      <c r="A65" s="2">
        <v>44</v>
      </c>
      <c r="B65" s="112">
        <f>'IAT-1'!C67</f>
        <v>951323243045</v>
      </c>
      <c r="C65" s="113" t="str">
        <f>'IAT-1'!D67</f>
        <v>PONKEERTHANA B</v>
      </c>
      <c r="D65" s="3"/>
      <c r="E65" s="281">
        <f>'IAT-REPORT'!P65</f>
        <v>82.6</v>
      </c>
      <c r="F65" s="281">
        <f>'IAT-REPORT'!Q65</f>
        <v>16.7</v>
      </c>
      <c r="G65" s="281">
        <f>'IAT-REPORT'!R65</f>
        <v>61.1</v>
      </c>
      <c r="H65" s="281">
        <f>'IAT-REPORT'!S65</f>
        <v>16.7</v>
      </c>
      <c r="I65" s="281">
        <f>'IAT-REPORT'!T65</f>
        <v>95.7</v>
      </c>
      <c r="J65" s="282">
        <f>RUBRICS!I65</f>
        <v>100</v>
      </c>
      <c r="K65" s="282">
        <f>RUBRICS!N65</f>
        <v>100</v>
      </c>
      <c r="L65" s="282">
        <f>RUBRICS!S65</f>
        <v>100</v>
      </c>
      <c r="M65" s="282">
        <f>RUBRICS!X65</f>
        <v>70</v>
      </c>
      <c r="N65" s="282">
        <f>RUBRICS!AC65</f>
        <v>70</v>
      </c>
      <c r="O65" s="282">
        <f>RUBRICS!AD65</f>
        <v>100</v>
      </c>
      <c r="P65" s="282">
        <f>UNIV!F62</f>
        <v>70</v>
      </c>
      <c r="Q65" s="281">
        <f>'COURSE END SURVEY'!E62</f>
        <v>4</v>
      </c>
      <c r="R65" s="281">
        <f>'COURSE END SURVEY'!F62</f>
        <v>4</v>
      </c>
      <c r="S65" s="281">
        <f>'COURSE END SURVEY'!G62</f>
        <v>4</v>
      </c>
      <c r="T65" s="281">
        <f>'COURSE END SURVEY'!H62</f>
        <v>4</v>
      </c>
      <c r="U65" s="281">
        <f>'COURSE END SURVEY'!I62</f>
        <v>4</v>
      </c>
    </row>
    <row r="66" spans="1:21" ht="15.75" x14ac:dyDescent="0.25">
      <c r="A66" s="2">
        <v>45</v>
      </c>
      <c r="B66" s="112">
        <f>'IAT-1'!C68</f>
        <v>951323243046</v>
      </c>
      <c r="C66" s="113" t="str">
        <f>'IAT-1'!D68</f>
        <v>POORANATRIFFIE P</v>
      </c>
      <c r="D66" s="3"/>
      <c r="E66" s="281">
        <f>'IAT-REPORT'!P66</f>
        <v>87</v>
      </c>
      <c r="F66" s="281">
        <f>'IAT-REPORT'!Q66</f>
        <v>88.9</v>
      </c>
      <c r="G66" s="281">
        <f>'IAT-REPORT'!R66</f>
        <v>66.7</v>
      </c>
      <c r="H66" s="281">
        <f>'IAT-REPORT'!S66</f>
        <v>77.8</v>
      </c>
      <c r="I66" s="281">
        <f>'IAT-REPORT'!T66</f>
        <v>91.3</v>
      </c>
      <c r="J66" s="282">
        <f>RUBRICS!I66</f>
        <v>100</v>
      </c>
      <c r="K66" s="282">
        <f>RUBRICS!N66</f>
        <v>100</v>
      </c>
      <c r="L66" s="282">
        <f>RUBRICS!S66</f>
        <v>100</v>
      </c>
      <c r="M66" s="282">
        <f>RUBRICS!X66</f>
        <v>100</v>
      </c>
      <c r="N66" s="282">
        <f>RUBRICS!AC66</f>
        <v>100</v>
      </c>
      <c r="O66" s="282">
        <f>RUBRICS!AD66</f>
        <v>60</v>
      </c>
      <c r="P66" s="282">
        <f>UNIV!F63</f>
        <v>70</v>
      </c>
      <c r="Q66" s="281">
        <f>'COURSE END SURVEY'!E63</f>
        <v>4</v>
      </c>
      <c r="R66" s="281">
        <f>'COURSE END SURVEY'!F63</f>
        <v>4</v>
      </c>
      <c r="S66" s="281">
        <f>'COURSE END SURVEY'!G63</f>
        <v>4</v>
      </c>
      <c r="T66" s="281">
        <f>'COURSE END SURVEY'!H63</f>
        <v>4</v>
      </c>
      <c r="U66" s="281">
        <f>'COURSE END SURVEY'!I63</f>
        <v>4</v>
      </c>
    </row>
    <row r="67" spans="1:21" ht="15.75" x14ac:dyDescent="0.25">
      <c r="A67" s="2">
        <v>46</v>
      </c>
      <c r="B67" s="112">
        <f>'IAT-1'!C69</f>
        <v>951323243047</v>
      </c>
      <c r="C67" s="113" t="str">
        <f>'IAT-1'!D69</f>
        <v>RACKLAND T</v>
      </c>
      <c r="D67" s="6"/>
      <c r="E67" s="281">
        <f>'IAT-REPORT'!P67</f>
        <v>82.6</v>
      </c>
      <c r="F67" s="281">
        <f>'IAT-REPORT'!Q67</f>
        <v>0</v>
      </c>
      <c r="G67" s="281">
        <f>'IAT-REPORT'!R67</f>
        <v>77.8</v>
      </c>
      <c r="H67" s="281">
        <f>'IAT-REPORT'!S67</f>
        <v>16.7</v>
      </c>
      <c r="I67" s="281">
        <f>'IAT-REPORT'!T67</f>
        <v>73.900000000000006</v>
      </c>
      <c r="J67" s="282">
        <f>RUBRICS!I67</f>
        <v>100</v>
      </c>
      <c r="K67" s="282">
        <f>RUBRICS!N67</f>
        <v>100</v>
      </c>
      <c r="L67" s="282">
        <f>RUBRICS!S67</f>
        <v>100</v>
      </c>
      <c r="M67" s="282">
        <f>RUBRICS!X67</f>
        <v>70</v>
      </c>
      <c r="N67" s="282">
        <f>RUBRICS!AC67</f>
        <v>70</v>
      </c>
      <c r="O67" s="282">
        <f>RUBRICS!AD67</f>
        <v>60</v>
      </c>
      <c r="P67" s="282">
        <f>UNIV!F64</f>
        <v>0</v>
      </c>
      <c r="Q67" s="281">
        <f>'COURSE END SURVEY'!E64</f>
        <v>4</v>
      </c>
      <c r="R67" s="281">
        <f>'COURSE END SURVEY'!F64</f>
        <v>3</v>
      </c>
      <c r="S67" s="281">
        <f>'COURSE END SURVEY'!G64</f>
        <v>4</v>
      </c>
      <c r="T67" s="281">
        <f>'COURSE END SURVEY'!H64</f>
        <v>3</v>
      </c>
      <c r="U67" s="281">
        <f>'COURSE END SURVEY'!I64</f>
        <v>4</v>
      </c>
    </row>
    <row r="68" spans="1:21" ht="15.75" x14ac:dyDescent="0.25">
      <c r="A68" s="2">
        <v>47</v>
      </c>
      <c r="B68" s="112">
        <f>'IAT-1'!C70</f>
        <v>951323243048</v>
      </c>
      <c r="C68" s="113" t="str">
        <f>'IAT-1'!D70</f>
        <v>RAJA SUNDAR K</v>
      </c>
      <c r="D68" s="3"/>
      <c r="E68" s="281">
        <f>'IAT-REPORT'!P68</f>
        <v>0</v>
      </c>
      <c r="F68" s="281">
        <f>'IAT-REPORT'!Q68</f>
        <v>0</v>
      </c>
      <c r="G68" s="281">
        <f>'IAT-REPORT'!R68</f>
        <v>33.35</v>
      </c>
      <c r="H68" s="281">
        <f>'IAT-REPORT'!S68</f>
        <v>11.1</v>
      </c>
      <c r="I68" s="281">
        <f>'IAT-REPORT'!T68</f>
        <v>52.2</v>
      </c>
      <c r="J68" s="282">
        <f>RUBRICS!I68</f>
        <v>100</v>
      </c>
      <c r="K68" s="282">
        <f>RUBRICS!N68</f>
        <v>100</v>
      </c>
      <c r="L68" s="282">
        <f>RUBRICS!S68</f>
        <v>100</v>
      </c>
      <c r="M68" s="282">
        <f>RUBRICS!X68</f>
        <v>70</v>
      </c>
      <c r="N68" s="282">
        <f>RUBRICS!AC68</f>
        <v>70</v>
      </c>
      <c r="O68" s="282">
        <f>RUBRICS!AD68</f>
        <v>60</v>
      </c>
      <c r="P68" s="282">
        <f>UNIV!F65</f>
        <v>70</v>
      </c>
      <c r="Q68" s="281">
        <f>'COURSE END SURVEY'!E65</f>
        <v>4</v>
      </c>
      <c r="R68" s="281">
        <f>'COURSE END SURVEY'!F65</f>
        <v>4</v>
      </c>
      <c r="S68" s="281">
        <f>'COURSE END SURVEY'!G65</f>
        <v>4</v>
      </c>
      <c r="T68" s="281">
        <f>'COURSE END SURVEY'!H65</f>
        <v>4</v>
      </c>
      <c r="U68" s="281">
        <f>'COURSE END SURVEY'!I65</f>
        <v>4</v>
      </c>
    </row>
    <row r="69" spans="1:21" ht="15.75" x14ac:dyDescent="0.25">
      <c r="A69" s="2">
        <v>48</v>
      </c>
      <c r="B69" s="112">
        <f>'IAT-1'!C71</f>
        <v>951323243049</v>
      </c>
      <c r="C69" s="113" t="str">
        <f>'IAT-1'!D71</f>
        <v>RAMALINGAM B</v>
      </c>
      <c r="D69" s="3"/>
      <c r="E69" s="281">
        <f>'IAT-REPORT'!P69</f>
        <v>0</v>
      </c>
      <c r="F69" s="281">
        <f>'IAT-REPORT'!Q69</f>
        <v>0</v>
      </c>
      <c r="G69" s="281">
        <f>'IAT-REPORT'!R69</f>
        <v>11.1</v>
      </c>
      <c r="H69" s="281">
        <f>'IAT-REPORT'!S69</f>
        <v>22.2</v>
      </c>
      <c r="I69" s="281">
        <f>'IAT-REPORT'!T69</f>
        <v>17.399999999999999</v>
      </c>
      <c r="J69" s="282">
        <f>RUBRICS!I69</f>
        <v>100</v>
      </c>
      <c r="K69" s="282">
        <f>RUBRICS!N69</f>
        <v>100</v>
      </c>
      <c r="L69" s="282">
        <f>RUBRICS!S69</f>
        <v>100</v>
      </c>
      <c r="M69" s="282">
        <f>RUBRICS!X69</f>
        <v>70</v>
      </c>
      <c r="N69" s="282">
        <f>RUBRICS!AC69</f>
        <v>70</v>
      </c>
      <c r="O69" s="282">
        <f>RUBRICS!AD69</f>
        <v>50</v>
      </c>
      <c r="P69" s="282">
        <f>UNIV!F66</f>
        <v>0</v>
      </c>
      <c r="Q69" s="281">
        <f>'COURSE END SURVEY'!E66</f>
        <v>4</v>
      </c>
      <c r="R69" s="281">
        <f>'COURSE END SURVEY'!F66</f>
        <v>4</v>
      </c>
      <c r="S69" s="281">
        <f>'COURSE END SURVEY'!G66</f>
        <v>4</v>
      </c>
      <c r="T69" s="281">
        <f>'COURSE END SURVEY'!H66</f>
        <v>4</v>
      </c>
      <c r="U69" s="281">
        <f>'COURSE END SURVEY'!I66</f>
        <v>4</v>
      </c>
    </row>
    <row r="70" spans="1:21" ht="15.75" x14ac:dyDescent="0.25">
      <c r="A70" s="2">
        <v>49</v>
      </c>
      <c r="B70" s="112">
        <f>'IAT-1'!C72</f>
        <v>951323243050</v>
      </c>
      <c r="C70" s="113" t="str">
        <f>'IAT-1'!D72</f>
        <v>SELVAM GRACELIN S</v>
      </c>
      <c r="D70" s="3"/>
      <c r="E70" s="281">
        <f>'IAT-REPORT'!P70</f>
        <v>0</v>
      </c>
      <c r="F70" s="281">
        <f>'IAT-REPORT'!Q70</f>
        <v>88.9</v>
      </c>
      <c r="G70" s="281">
        <f>'IAT-REPORT'!R70</f>
        <v>88.9</v>
      </c>
      <c r="H70" s="281">
        <f>'IAT-REPORT'!S70</f>
        <v>88.9</v>
      </c>
      <c r="I70" s="281">
        <f>'IAT-REPORT'!T70</f>
        <v>0</v>
      </c>
      <c r="J70" s="282">
        <f>RUBRICS!I70</f>
        <v>100</v>
      </c>
      <c r="K70" s="282">
        <f>RUBRICS!N70</f>
        <v>100</v>
      </c>
      <c r="L70" s="282">
        <f>RUBRICS!S70</f>
        <v>100</v>
      </c>
      <c r="M70" s="282">
        <f>RUBRICS!X70</f>
        <v>100</v>
      </c>
      <c r="N70" s="282">
        <f>RUBRICS!AC70</f>
        <v>100</v>
      </c>
      <c r="O70" s="282">
        <f>RUBRICS!AD70</f>
        <v>60</v>
      </c>
      <c r="P70" s="282">
        <f>UNIV!F67</f>
        <v>90</v>
      </c>
      <c r="Q70" s="281">
        <f>'COURSE END SURVEY'!E67</f>
        <v>4</v>
      </c>
      <c r="R70" s="281">
        <f>'COURSE END SURVEY'!F67</f>
        <v>4</v>
      </c>
      <c r="S70" s="281">
        <f>'COURSE END SURVEY'!G67</f>
        <v>4</v>
      </c>
      <c r="T70" s="281">
        <f>'COURSE END SURVEY'!H67</f>
        <v>4</v>
      </c>
      <c r="U70" s="281">
        <f>'COURSE END SURVEY'!I67</f>
        <v>4</v>
      </c>
    </row>
    <row r="71" spans="1:21" ht="15.75" x14ac:dyDescent="0.25">
      <c r="A71" s="2">
        <v>50</v>
      </c>
      <c r="B71" s="112">
        <f>'IAT-1'!C73</f>
        <v>951323243051</v>
      </c>
      <c r="C71" s="113" t="str">
        <f>'IAT-1'!D73</f>
        <v>SHANKAR V</v>
      </c>
      <c r="D71" s="3"/>
      <c r="E71" s="281">
        <f>'IAT-REPORT'!P71</f>
        <v>0</v>
      </c>
      <c r="F71" s="281">
        <f>'IAT-REPORT'!Q71</f>
        <v>38.9</v>
      </c>
      <c r="G71" s="281">
        <f>'IAT-REPORT'!R71</f>
        <v>27.75</v>
      </c>
      <c r="H71" s="281">
        <f>'IAT-REPORT'!S71</f>
        <v>5.6</v>
      </c>
      <c r="I71" s="281">
        <f>'IAT-REPORT'!T71</f>
        <v>0</v>
      </c>
      <c r="J71" s="282">
        <f>RUBRICS!I71</f>
        <v>100</v>
      </c>
      <c r="K71" s="282">
        <f>RUBRICS!N71</f>
        <v>50</v>
      </c>
      <c r="L71" s="282">
        <f>RUBRICS!S71</f>
        <v>100</v>
      </c>
      <c r="M71" s="282">
        <f>RUBRICS!X71</f>
        <v>70</v>
      </c>
      <c r="N71" s="282">
        <f>RUBRICS!AC71</f>
        <v>70</v>
      </c>
      <c r="O71" s="282">
        <f>RUBRICS!AD71</f>
        <v>60</v>
      </c>
      <c r="P71" s="282">
        <f>UNIV!F68</f>
        <v>70</v>
      </c>
      <c r="Q71" s="281">
        <f>'COURSE END SURVEY'!E68</f>
        <v>4</v>
      </c>
      <c r="R71" s="281">
        <f>'COURSE END SURVEY'!F68</f>
        <v>4</v>
      </c>
      <c r="S71" s="281">
        <f>'COURSE END SURVEY'!G68</f>
        <v>4</v>
      </c>
      <c r="T71" s="281">
        <f>'COURSE END SURVEY'!H68</f>
        <v>4</v>
      </c>
      <c r="U71" s="281">
        <f>'COURSE END SURVEY'!I68</f>
        <v>4</v>
      </c>
    </row>
    <row r="72" spans="1:21" ht="15.75" x14ac:dyDescent="0.25">
      <c r="A72" s="2">
        <v>51</v>
      </c>
      <c r="B72" s="112">
        <f>'IAT-1'!C74</f>
        <v>951323243052</v>
      </c>
      <c r="C72" s="113" t="str">
        <f>'IAT-1'!D74</f>
        <v>SINDHUJA RAJASUMANA R</v>
      </c>
      <c r="D72" s="3"/>
      <c r="E72" s="281">
        <f>'IAT-REPORT'!P72</f>
        <v>100</v>
      </c>
      <c r="F72" s="281">
        <f>'IAT-REPORT'!Q72</f>
        <v>100</v>
      </c>
      <c r="G72" s="281">
        <f>'IAT-REPORT'!R72</f>
        <v>100</v>
      </c>
      <c r="H72" s="281">
        <f>'IAT-REPORT'!S72</f>
        <v>94.4</v>
      </c>
      <c r="I72" s="281">
        <f>'IAT-REPORT'!T72</f>
        <v>100</v>
      </c>
      <c r="J72" s="282">
        <f>RUBRICS!I72</f>
        <v>100</v>
      </c>
      <c r="K72" s="282">
        <f>RUBRICS!N72</f>
        <v>100</v>
      </c>
      <c r="L72" s="282">
        <f>RUBRICS!S72</f>
        <v>100</v>
      </c>
      <c r="M72" s="282">
        <f>RUBRICS!X72</f>
        <v>100</v>
      </c>
      <c r="N72" s="282">
        <f>RUBRICS!AC72</f>
        <v>100</v>
      </c>
      <c r="O72" s="282">
        <f>RUBRICS!AD72</f>
        <v>60</v>
      </c>
      <c r="P72" s="282">
        <f>UNIV!F69</f>
        <v>90</v>
      </c>
      <c r="Q72" s="281">
        <f>'COURSE END SURVEY'!E69</f>
        <v>4</v>
      </c>
      <c r="R72" s="281">
        <f>'COURSE END SURVEY'!F69</f>
        <v>4</v>
      </c>
      <c r="S72" s="281">
        <f>'COURSE END SURVEY'!G69</f>
        <v>4</v>
      </c>
      <c r="T72" s="281">
        <f>'COURSE END SURVEY'!H69</f>
        <v>4</v>
      </c>
      <c r="U72" s="281">
        <f>'COURSE END SURVEY'!I69</f>
        <v>4</v>
      </c>
    </row>
    <row r="73" spans="1:21" ht="15.75" x14ac:dyDescent="0.25">
      <c r="A73" s="2">
        <v>52</v>
      </c>
      <c r="B73" s="112">
        <f>'IAT-1'!C75</f>
        <v>951323243053</v>
      </c>
      <c r="C73" s="113" t="str">
        <f>'IAT-1'!D75</f>
        <v>SNEGA G</v>
      </c>
      <c r="D73" s="3"/>
      <c r="E73" s="281">
        <f>'IAT-REPORT'!P73</f>
        <v>100</v>
      </c>
      <c r="F73" s="281">
        <f>'IAT-REPORT'!Q73</f>
        <v>94.4</v>
      </c>
      <c r="G73" s="281">
        <f>'IAT-REPORT'!R73</f>
        <v>94.45</v>
      </c>
      <c r="H73" s="281">
        <f>'IAT-REPORT'!S73</f>
        <v>55.6</v>
      </c>
      <c r="I73" s="281">
        <f>'IAT-REPORT'!T73</f>
        <v>91.3</v>
      </c>
      <c r="J73" s="282">
        <f>RUBRICS!I73</f>
        <v>100</v>
      </c>
      <c r="K73" s="282">
        <f>RUBRICS!N73</f>
        <v>100</v>
      </c>
      <c r="L73" s="282">
        <f>RUBRICS!S73</f>
        <v>100</v>
      </c>
      <c r="M73" s="282">
        <f>RUBRICS!X73</f>
        <v>100</v>
      </c>
      <c r="N73" s="282">
        <f>RUBRICS!AC73</f>
        <v>70</v>
      </c>
      <c r="O73" s="282">
        <f>RUBRICS!AD73</f>
        <v>80</v>
      </c>
      <c r="P73" s="282">
        <f>UNIV!F70</f>
        <v>100</v>
      </c>
      <c r="Q73" s="281">
        <f>'COURSE END SURVEY'!E70</f>
        <v>4</v>
      </c>
      <c r="R73" s="281">
        <f>'COURSE END SURVEY'!F70</f>
        <v>4</v>
      </c>
      <c r="S73" s="281">
        <f>'COURSE END SURVEY'!G70</f>
        <v>4</v>
      </c>
      <c r="T73" s="281">
        <f>'COURSE END SURVEY'!H70</f>
        <v>3</v>
      </c>
      <c r="U73" s="281">
        <f>'COURSE END SURVEY'!I70</f>
        <v>3</v>
      </c>
    </row>
    <row r="74" spans="1:21" ht="15.75" x14ac:dyDescent="0.25">
      <c r="A74" s="2">
        <v>53</v>
      </c>
      <c r="B74" s="112">
        <f>'IAT-1'!C76</f>
        <v>951323243054</v>
      </c>
      <c r="C74" s="113" t="str">
        <f>'IAT-1'!D76</f>
        <v>SUBRAMANIAN V</v>
      </c>
      <c r="D74" s="3"/>
      <c r="E74" s="281">
        <f>'IAT-REPORT'!P74</f>
        <v>52.2</v>
      </c>
      <c r="F74" s="281">
        <f>'IAT-REPORT'!Q74</f>
        <v>72.2</v>
      </c>
      <c r="G74" s="281">
        <f>'IAT-REPORT'!R74</f>
        <v>5.55</v>
      </c>
      <c r="H74" s="281">
        <f>'IAT-REPORT'!S74</f>
        <v>0</v>
      </c>
      <c r="I74" s="281">
        <f>'IAT-REPORT'!T74</f>
        <v>78.3</v>
      </c>
      <c r="J74" s="282">
        <f>RUBRICS!I74</f>
        <v>100</v>
      </c>
      <c r="K74" s="282">
        <f>RUBRICS!N74</f>
        <v>100</v>
      </c>
      <c r="L74" s="282">
        <f>RUBRICS!S74</f>
        <v>50</v>
      </c>
      <c r="M74" s="282">
        <f>RUBRICS!X74</f>
        <v>70</v>
      </c>
      <c r="N74" s="282">
        <f>RUBRICS!AC74</f>
        <v>70</v>
      </c>
      <c r="O74" s="282">
        <f>RUBRICS!AD74</f>
        <v>50</v>
      </c>
      <c r="P74" s="282">
        <f>UNIV!F71</f>
        <v>0</v>
      </c>
      <c r="Q74" s="281">
        <f>'COURSE END SURVEY'!E71</f>
        <v>3</v>
      </c>
      <c r="R74" s="281">
        <f>'COURSE END SURVEY'!F71</f>
        <v>3</v>
      </c>
      <c r="S74" s="281">
        <f>'COURSE END SURVEY'!G71</f>
        <v>3</v>
      </c>
      <c r="T74" s="281">
        <f>'COURSE END SURVEY'!H71</f>
        <v>4</v>
      </c>
      <c r="U74" s="281">
        <f>'COURSE END SURVEY'!I71</f>
        <v>4</v>
      </c>
    </row>
    <row r="75" spans="1:21" ht="15.75" x14ac:dyDescent="0.25">
      <c r="A75" s="2">
        <v>54</v>
      </c>
      <c r="B75" s="112">
        <f>'IAT-1'!C77</f>
        <v>951323243055</v>
      </c>
      <c r="C75" s="113" t="str">
        <f>'IAT-1'!D77</f>
        <v>SUGAN RAJ H</v>
      </c>
      <c r="D75" s="3"/>
      <c r="E75" s="281">
        <f>'IAT-REPORT'!P75</f>
        <v>43.5</v>
      </c>
      <c r="F75" s="281">
        <f>'IAT-REPORT'!Q75</f>
        <v>33.299999999999997</v>
      </c>
      <c r="G75" s="281">
        <f>'IAT-REPORT'!R75</f>
        <v>27.75</v>
      </c>
      <c r="H75" s="281">
        <f>'IAT-REPORT'!S75</f>
        <v>0</v>
      </c>
      <c r="I75" s="281">
        <f>'IAT-REPORT'!T75</f>
        <v>26.1</v>
      </c>
      <c r="J75" s="282">
        <f>RUBRICS!I75</f>
        <v>100</v>
      </c>
      <c r="K75" s="282">
        <f>RUBRICS!N75</f>
        <v>100</v>
      </c>
      <c r="L75" s="282">
        <f>RUBRICS!S75</f>
        <v>100</v>
      </c>
      <c r="M75" s="282">
        <f>RUBRICS!X75</f>
        <v>70</v>
      </c>
      <c r="N75" s="282">
        <f>RUBRICS!AC75</f>
        <v>70</v>
      </c>
      <c r="O75" s="282">
        <f>RUBRICS!AD75</f>
        <v>60</v>
      </c>
      <c r="P75" s="282">
        <f>UNIV!F72</f>
        <v>70</v>
      </c>
      <c r="Q75" s="281">
        <f>'COURSE END SURVEY'!E72</f>
        <v>4</v>
      </c>
      <c r="R75" s="281">
        <f>'COURSE END SURVEY'!F72</f>
        <v>4</v>
      </c>
      <c r="S75" s="281">
        <f>'COURSE END SURVEY'!G72</f>
        <v>3</v>
      </c>
      <c r="T75" s="281">
        <f>'COURSE END SURVEY'!H72</f>
        <v>4</v>
      </c>
      <c r="U75" s="281">
        <f>'COURSE END SURVEY'!I72</f>
        <v>4</v>
      </c>
    </row>
    <row r="76" spans="1:21" ht="15.75" x14ac:dyDescent="0.25">
      <c r="A76" s="2">
        <v>55</v>
      </c>
      <c r="B76" s="112">
        <f>'IAT-1'!C78</f>
        <v>951323243056</v>
      </c>
      <c r="C76" s="113" t="str">
        <f>'IAT-1'!D78</f>
        <v>THOMAS KOILRAJ J</v>
      </c>
      <c r="D76" s="3"/>
      <c r="E76" s="281">
        <f>'IAT-REPORT'!P76</f>
        <v>78.3</v>
      </c>
      <c r="F76" s="281">
        <f>'IAT-REPORT'!Q76</f>
        <v>50</v>
      </c>
      <c r="G76" s="281">
        <f>'IAT-REPORT'!R76</f>
        <v>38.9</v>
      </c>
      <c r="H76" s="281">
        <f>'IAT-REPORT'!S76</f>
        <v>11.1</v>
      </c>
      <c r="I76" s="281">
        <f>'IAT-REPORT'!T76</f>
        <v>52.2</v>
      </c>
      <c r="J76" s="282">
        <f>RUBRICS!I76</f>
        <v>100</v>
      </c>
      <c r="K76" s="282">
        <f>RUBRICS!N76</f>
        <v>100</v>
      </c>
      <c r="L76" s="282">
        <f>RUBRICS!S76</f>
        <v>100</v>
      </c>
      <c r="M76" s="282">
        <f>RUBRICS!X76</f>
        <v>100</v>
      </c>
      <c r="N76" s="282">
        <f>RUBRICS!AC76</f>
        <v>100</v>
      </c>
      <c r="O76" s="282">
        <f>RUBRICS!AD76</f>
        <v>60</v>
      </c>
      <c r="P76" s="282">
        <f>UNIV!F73</f>
        <v>0</v>
      </c>
      <c r="Q76" s="281">
        <f>'COURSE END SURVEY'!E73</f>
        <v>4</v>
      </c>
      <c r="R76" s="281">
        <f>'COURSE END SURVEY'!F73</f>
        <v>4</v>
      </c>
      <c r="S76" s="281">
        <f>'COURSE END SURVEY'!G73</f>
        <v>4</v>
      </c>
      <c r="T76" s="281">
        <f>'COURSE END SURVEY'!H73</f>
        <v>4</v>
      </c>
      <c r="U76" s="281">
        <f>'COURSE END SURVEY'!I73</f>
        <v>4</v>
      </c>
    </row>
    <row r="77" spans="1:21" ht="15.75" x14ac:dyDescent="0.25">
      <c r="A77" s="2">
        <v>56</v>
      </c>
      <c r="B77" s="112">
        <f>'IAT-1'!C79</f>
        <v>951323243057</v>
      </c>
      <c r="C77" s="113" t="str">
        <f>'IAT-1'!D79</f>
        <v>VANITHA L</v>
      </c>
      <c r="D77" s="3"/>
      <c r="E77" s="281">
        <f>'IAT-REPORT'!P77</f>
        <v>65.2</v>
      </c>
      <c r="F77" s="281">
        <f>'IAT-REPORT'!Q77</f>
        <v>0</v>
      </c>
      <c r="G77" s="281">
        <f>'IAT-REPORT'!R77</f>
        <v>94.45</v>
      </c>
      <c r="H77" s="281">
        <f>'IAT-REPORT'!S77</f>
        <v>44.4</v>
      </c>
      <c r="I77" s="281">
        <f>'IAT-REPORT'!T77</f>
        <v>91.3</v>
      </c>
      <c r="J77" s="282">
        <f>RUBRICS!I77</f>
        <v>100</v>
      </c>
      <c r="K77" s="282">
        <f>RUBRICS!N77</f>
        <v>100</v>
      </c>
      <c r="L77" s="282">
        <f>RUBRICS!S77</f>
        <v>100</v>
      </c>
      <c r="M77" s="282">
        <f>RUBRICS!X77</f>
        <v>70</v>
      </c>
      <c r="N77" s="282">
        <f>RUBRICS!AC77</f>
        <v>70</v>
      </c>
      <c r="O77" s="282">
        <f>RUBRICS!AD77</f>
        <v>100</v>
      </c>
      <c r="P77" s="282">
        <f>UNIV!F74</f>
        <v>70</v>
      </c>
      <c r="Q77" s="281">
        <f>'COURSE END SURVEY'!E74</f>
        <v>4</v>
      </c>
      <c r="R77" s="281">
        <f>'COURSE END SURVEY'!F74</f>
        <v>4</v>
      </c>
      <c r="S77" s="281">
        <f>'COURSE END SURVEY'!G74</f>
        <v>4</v>
      </c>
      <c r="T77" s="281">
        <f>'COURSE END SURVEY'!H74</f>
        <v>4</v>
      </c>
      <c r="U77" s="281">
        <f>'COURSE END SURVEY'!I74</f>
        <v>4</v>
      </c>
    </row>
    <row r="78" spans="1:21" ht="15.75" x14ac:dyDescent="0.25">
      <c r="A78" s="2">
        <v>57</v>
      </c>
      <c r="B78" s="112">
        <f>'IAT-1'!C80</f>
        <v>951323243058</v>
      </c>
      <c r="C78" s="113" t="str">
        <f>'IAT-1'!D80</f>
        <v>VICTOR ROBINSON</v>
      </c>
      <c r="D78" s="3"/>
      <c r="E78" s="281">
        <f>'IAT-REPORT'!P78</f>
        <v>0</v>
      </c>
      <c r="F78" s="281">
        <f>'IAT-REPORT'!Q78</f>
        <v>0</v>
      </c>
      <c r="G78" s="281">
        <f>'IAT-REPORT'!R78</f>
        <v>11.1</v>
      </c>
      <c r="H78" s="281">
        <f>'IAT-REPORT'!S78</f>
        <v>11.1</v>
      </c>
      <c r="I78" s="281">
        <f>'IAT-REPORT'!T78</f>
        <v>21.7</v>
      </c>
      <c r="J78" s="282">
        <f>RUBRICS!I78</f>
        <v>70</v>
      </c>
      <c r="K78" s="282">
        <f>RUBRICS!N78</f>
        <v>100</v>
      </c>
      <c r="L78" s="282">
        <f>RUBRICS!S78</f>
        <v>70</v>
      </c>
      <c r="M78" s="282">
        <f>RUBRICS!X78</f>
        <v>100</v>
      </c>
      <c r="N78" s="282">
        <f>RUBRICS!AC78</f>
        <v>70</v>
      </c>
      <c r="O78" s="282">
        <f>RUBRICS!AD78</f>
        <v>60</v>
      </c>
      <c r="P78" s="282">
        <f>UNIV!F75</f>
        <v>0</v>
      </c>
      <c r="Q78" s="281">
        <f>'COURSE END SURVEY'!E75</f>
        <v>4</v>
      </c>
      <c r="R78" s="281">
        <f>'COURSE END SURVEY'!F75</f>
        <v>4</v>
      </c>
      <c r="S78" s="281">
        <f>'COURSE END SURVEY'!G75</f>
        <v>4</v>
      </c>
      <c r="T78" s="281">
        <f>'COURSE END SURVEY'!H75</f>
        <v>4</v>
      </c>
      <c r="U78" s="281">
        <f>'COURSE END SURVEY'!I75</f>
        <v>4</v>
      </c>
    </row>
    <row r="79" spans="1:21" ht="15.75" x14ac:dyDescent="0.25">
      <c r="A79" s="2">
        <v>58</v>
      </c>
      <c r="B79" s="112">
        <f>'IAT-1'!C81</f>
        <v>951323243059</v>
      </c>
      <c r="C79" s="113" t="str">
        <f>'IAT-1'!D81</f>
        <v>VIJAYAPRAKASH S</v>
      </c>
      <c r="D79" s="3"/>
      <c r="E79" s="281">
        <f>'IAT-REPORT'!P79</f>
        <v>0</v>
      </c>
      <c r="F79" s="281">
        <f>'IAT-REPORT'!Q79</f>
        <v>0</v>
      </c>
      <c r="G79" s="281">
        <f>'IAT-REPORT'!R79</f>
        <v>11.1</v>
      </c>
      <c r="H79" s="281">
        <f>'IAT-REPORT'!S79</f>
        <v>0</v>
      </c>
      <c r="I79" s="281">
        <f>'IAT-REPORT'!T79</f>
        <v>0</v>
      </c>
      <c r="J79" s="282">
        <f>RUBRICS!I79</f>
        <v>100</v>
      </c>
      <c r="K79" s="282">
        <f>RUBRICS!N79</f>
        <v>70</v>
      </c>
      <c r="L79" s="282">
        <f>RUBRICS!S79</f>
        <v>50</v>
      </c>
      <c r="M79" s="282">
        <f>RUBRICS!X79</f>
        <v>70</v>
      </c>
      <c r="N79" s="282">
        <f>RUBRICS!AC79</f>
        <v>70</v>
      </c>
      <c r="O79" s="282">
        <f>RUBRICS!AD79</f>
        <v>50</v>
      </c>
      <c r="P79" s="282">
        <f>UNIV!F76</f>
        <v>70</v>
      </c>
      <c r="Q79" s="281">
        <f>'COURSE END SURVEY'!E76</f>
        <v>4</v>
      </c>
      <c r="R79" s="281">
        <f>'COURSE END SURVEY'!F76</f>
        <v>4</v>
      </c>
      <c r="S79" s="281">
        <f>'COURSE END SURVEY'!G76</f>
        <v>4</v>
      </c>
      <c r="T79" s="281">
        <f>'COURSE END SURVEY'!H76</f>
        <v>4</v>
      </c>
      <c r="U79" s="281">
        <f>'COURSE END SURVEY'!I76</f>
        <v>4</v>
      </c>
    </row>
    <row r="80" spans="1:21" ht="15.75" x14ac:dyDescent="0.25">
      <c r="A80" s="2">
        <v>59</v>
      </c>
      <c r="B80" s="112">
        <f>'IAT-1'!C82</f>
        <v>951323243060</v>
      </c>
      <c r="C80" s="113" t="str">
        <f>'IAT-1'!D82</f>
        <v>VIJITHA BLESSY V</v>
      </c>
      <c r="D80" s="3"/>
      <c r="E80" s="281">
        <f>'IAT-REPORT'!P80</f>
        <v>47.8</v>
      </c>
      <c r="F80" s="281">
        <f>'IAT-REPORT'!Q80</f>
        <v>72.2</v>
      </c>
      <c r="G80" s="281">
        <f>'IAT-REPORT'!R80</f>
        <v>16.649999999999999</v>
      </c>
      <c r="H80" s="281">
        <f>'IAT-REPORT'!S80</f>
        <v>0</v>
      </c>
      <c r="I80" s="281">
        <f>'IAT-REPORT'!T80</f>
        <v>0</v>
      </c>
      <c r="J80" s="282">
        <f>RUBRICS!I80</f>
        <v>100</v>
      </c>
      <c r="K80" s="282">
        <f>RUBRICS!N80</f>
        <v>100</v>
      </c>
      <c r="L80" s="282">
        <f>RUBRICS!S80</f>
        <v>100</v>
      </c>
      <c r="M80" s="282">
        <f>RUBRICS!X80</f>
        <v>100</v>
      </c>
      <c r="N80" s="282">
        <f>RUBRICS!AC80</f>
        <v>70</v>
      </c>
      <c r="O80" s="282">
        <f>RUBRICS!AD80</f>
        <v>100</v>
      </c>
      <c r="P80" s="282">
        <f>UNIV!F77</f>
        <v>70</v>
      </c>
      <c r="Q80" s="281">
        <f>'COURSE END SURVEY'!E77</f>
        <v>4</v>
      </c>
      <c r="R80" s="281">
        <f>'COURSE END SURVEY'!F77</f>
        <v>4</v>
      </c>
      <c r="S80" s="281">
        <f>'COURSE END SURVEY'!G77</f>
        <v>4</v>
      </c>
      <c r="T80" s="281">
        <f>'COURSE END SURVEY'!H77</f>
        <v>4</v>
      </c>
      <c r="U80" s="281">
        <f>'COURSE END SURVEY'!I77</f>
        <v>4</v>
      </c>
    </row>
    <row r="81" spans="1:21" ht="15.75" x14ac:dyDescent="0.25">
      <c r="A81" s="440"/>
      <c r="B81" s="440"/>
      <c r="C81" s="440"/>
      <c r="D81" s="441"/>
      <c r="E81" s="281">
        <f>'IAT-REPORT'!P81</f>
        <v>36</v>
      </c>
      <c r="F81" s="281">
        <f>'IAT-REPORT'!Q81</f>
        <v>32</v>
      </c>
      <c r="G81" s="281">
        <f>'IAT-REPORT'!R81</f>
        <v>37</v>
      </c>
      <c r="H81" s="281">
        <f>'IAT-REPORT'!S81</f>
        <v>19</v>
      </c>
      <c r="I81" s="281">
        <f>'IAT-REPORT'!T81</f>
        <v>39</v>
      </c>
      <c r="J81" s="282">
        <f>RUBRICS!I81</f>
        <v>57</v>
      </c>
      <c r="K81" s="282">
        <f>RUBRICS!N81</f>
        <v>57</v>
      </c>
      <c r="L81" s="282">
        <f>RUBRICS!S81</f>
        <v>57</v>
      </c>
      <c r="M81" s="282">
        <f>RUBRICS!X81</f>
        <v>57</v>
      </c>
      <c r="N81" s="282">
        <f>RUBRICS!AC81</f>
        <v>57</v>
      </c>
      <c r="O81" s="282">
        <f>RUBRICS!AD81</f>
        <v>57</v>
      </c>
      <c r="P81" s="282">
        <f>UNIV!F78</f>
        <v>49</v>
      </c>
      <c r="Q81" s="281">
        <f>'COURSE END SURVEY'!E78</f>
        <v>57</v>
      </c>
      <c r="R81" s="281">
        <f>'COURSE END SURVEY'!F78</f>
        <v>57</v>
      </c>
      <c r="S81" s="281">
        <f>'COURSE END SURVEY'!G78</f>
        <v>57</v>
      </c>
      <c r="T81" s="281">
        <f>'COURSE END SURVEY'!H78</f>
        <v>57</v>
      </c>
      <c r="U81" s="281">
        <f>'COURSE END SURVEY'!I78</f>
        <v>57</v>
      </c>
    </row>
    <row r="82" spans="1:21" ht="15.75" x14ac:dyDescent="0.25">
      <c r="A82" s="18"/>
      <c r="B82" s="18"/>
      <c r="C82" s="18"/>
      <c r="D82" s="31" t="s">
        <v>154</v>
      </c>
      <c r="E82" s="281">
        <f>'IAT-REPORT'!P82</f>
        <v>63.2</v>
      </c>
      <c r="F82" s="281">
        <f>'IAT-REPORT'!Q82</f>
        <v>56.1</v>
      </c>
      <c r="G82" s="281">
        <f>'IAT-REPORT'!R82</f>
        <v>64.900000000000006</v>
      </c>
      <c r="H82" s="281">
        <f>'IAT-REPORT'!S82</f>
        <v>33.299999999999997</v>
      </c>
      <c r="I82" s="281">
        <f>'IAT-REPORT'!T82</f>
        <v>68.400000000000006</v>
      </c>
      <c r="J82" s="282">
        <f>RUBRICS!I82</f>
        <v>100</v>
      </c>
      <c r="K82" s="282">
        <f>RUBRICS!N82</f>
        <v>100</v>
      </c>
      <c r="L82" s="282">
        <f>RUBRICS!S82</f>
        <v>100</v>
      </c>
      <c r="M82" s="282">
        <f>RUBRICS!X82</f>
        <v>100</v>
      </c>
      <c r="N82" s="282">
        <f>RUBRICS!AC82</f>
        <v>100</v>
      </c>
      <c r="O82" s="282">
        <f>RUBRICS!AD82</f>
        <v>100</v>
      </c>
      <c r="P82" s="283">
        <f>UNIV!F79</f>
        <v>86</v>
      </c>
      <c r="Q82" s="281">
        <f>'COURSE END SURVEY'!E79</f>
        <v>100</v>
      </c>
      <c r="R82" s="281">
        <f>'COURSE END SURVEY'!F79</f>
        <v>100</v>
      </c>
      <c r="S82" s="281">
        <f>'COURSE END SURVEY'!G79</f>
        <v>100</v>
      </c>
      <c r="T82" s="281">
        <f>'COURSE END SURVEY'!H79</f>
        <v>100</v>
      </c>
      <c r="U82" s="281">
        <f>'COURSE END SURVEY'!I79</f>
        <v>100</v>
      </c>
    </row>
    <row r="83" spans="1:21" ht="15.75" x14ac:dyDescent="0.25">
      <c r="A83" s="440"/>
      <c r="B83" s="440"/>
      <c r="C83" s="440"/>
      <c r="D83" s="441"/>
      <c r="E83" s="281">
        <f>'IAT-REPORT'!P83</f>
        <v>3</v>
      </c>
      <c r="F83" s="281">
        <f>'IAT-REPORT'!Q83</f>
        <v>2</v>
      </c>
      <c r="G83" s="281">
        <f>'IAT-REPORT'!R83</f>
        <v>3</v>
      </c>
      <c r="H83" s="281">
        <f>'IAT-REPORT'!S83</f>
        <v>0</v>
      </c>
      <c r="I83" s="281">
        <f>'IAT-REPORT'!T83</f>
        <v>3</v>
      </c>
      <c r="J83" s="282">
        <f>RUBRICS!I83</f>
        <v>3</v>
      </c>
      <c r="K83" s="282">
        <f>RUBRICS!N83</f>
        <v>3</v>
      </c>
      <c r="L83" s="282">
        <f>RUBRICS!S83</f>
        <v>3</v>
      </c>
      <c r="M83" s="282">
        <f>RUBRICS!X83</f>
        <v>3</v>
      </c>
      <c r="N83" s="282">
        <f>RUBRICS!AC83</f>
        <v>3</v>
      </c>
      <c r="O83" s="282">
        <f>RUBRICS!AD83</f>
        <v>3</v>
      </c>
      <c r="P83" s="282">
        <f>UNIV!F80</f>
        <v>3</v>
      </c>
      <c r="Q83" s="281">
        <f>'COURSE END SURVEY'!E80</f>
        <v>3</v>
      </c>
      <c r="R83" s="281">
        <f>'COURSE END SURVEY'!F80</f>
        <v>3</v>
      </c>
      <c r="S83" s="281">
        <f>'COURSE END SURVEY'!G80</f>
        <v>3</v>
      </c>
      <c r="T83" s="281">
        <f>'COURSE END SURVEY'!H80</f>
        <v>3</v>
      </c>
      <c r="U83" s="281">
        <f>'COURSE END SURVEY'!I80</f>
        <v>3</v>
      </c>
    </row>
    <row r="91" spans="1:21" ht="20.25" x14ac:dyDescent="0.3">
      <c r="J91" s="109"/>
      <c r="R91" s="74"/>
    </row>
    <row r="92" spans="1:21" ht="20.25" x14ac:dyDescent="0.3">
      <c r="J92" s="109"/>
      <c r="R92" s="74"/>
    </row>
    <row r="93" spans="1:21" ht="20.25" x14ac:dyDescent="0.3">
      <c r="J93" s="109"/>
      <c r="R93" s="74"/>
    </row>
    <row r="94" spans="1:21" ht="20.25" x14ac:dyDescent="0.3">
      <c r="J94" s="109"/>
      <c r="R94" s="74"/>
    </row>
    <row r="95" spans="1:21" x14ac:dyDescent="0.25">
      <c r="J95" s="74"/>
      <c r="R95" s="74"/>
    </row>
    <row r="96" spans="1:21" x14ac:dyDescent="0.25">
      <c r="J96" s="74"/>
      <c r="R96" s="74"/>
    </row>
    <row r="97" spans="10:18" x14ac:dyDescent="0.25">
      <c r="J97" s="74"/>
      <c r="R97" s="74"/>
    </row>
    <row r="98" spans="10:18" x14ac:dyDescent="0.25">
      <c r="J98" s="74"/>
      <c r="R98" s="74"/>
    </row>
    <row r="99" spans="10:18" x14ac:dyDescent="0.25">
      <c r="J99" s="74"/>
      <c r="R99" s="74"/>
    </row>
    <row r="100" spans="10:18" x14ac:dyDescent="0.25">
      <c r="J100" s="74"/>
      <c r="R100" s="74"/>
    </row>
  </sheetData>
  <mergeCells count="28">
    <mergeCell ref="P19:P22"/>
    <mergeCell ref="Q19:U19"/>
    <mergeCell ref="Q20:Q22"/>
    <mergeCell ref="R20:R22"/>
    <mergeCell ref="S20:S22"/>
    <mergeCell ref="T20:T22"/>
    <mergeCell ref="U20:U22"/>
    <mergeCell ref="J19:O20"/>
    <mergeCell ref="E19:I21"/>
    <mergeCell ref="D19:D21"/>
    <mergeCell ref="A81:D81"/>
    <mergeCell ref="J21:N21"/>
    <mergeCell ref="O9:S9"/>
    <mergeCell ref="A83:D83"/>
    <mergeCell ref="L16:P16"/>
    <mergeCell ref="B6:O6"/>
    <mergeCell ref="B1:O1"/>
    <mergeCell ref="B2:O2"/>
    <mergeCell ref="B3:O3"/>
    <mergeCell ref="B4:O4"/>
    <mergeCell ref="B5:O5"/>
    <mergeCell ref="I11:L11"/>
    <mergeCell ref="I12:L12"/>
    <mergeCell ref="I13:L13"/>
    <mergeCell ref="I14:L14"/>
    <mergeCell ref="A19:A23"/>
    <mergeCell ref="B19:B23"/>
    <mergeCell ref="C19:C23"/>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54"/>
  <sheetViews>
    <sheetView topLeftCell="A35" workbookViewId="0">
      <selection activeCell="D11" sqref="D11"/>
    </sheetView>
  </sheetViews>
  <sheetFormatPr defaultRowHeight="15" x14ac:dyDescent="0.25"/>
  <cols>
    <col min="1" max="1" width="8.42578125" customWidth="1"/>
    <col min="2" max="2" width="29" customWidth="1"/>
    <col min="3" max="6" width="15.85546875" customWidth="1"/>
    <col min="7" max="7" width="16.5703125" customWidth="1"/>
    <col min="8" max="8" width="11.85546875" customWidth="1"/>
    <col min="10" max="10" width="8.140625" customWidth="1"/>
    <col min="13" max="13" width="7.85546875" customWidth="1"/>
    <col min="20" max="20" width="29.42578125" customWidth="1"/>
  </cols>
  <sheetData>
    <row r="1" spans="1:17" x14ac:dyDescent="0.25">
      <c r="A1" s="331" t="s">
        <v>0</v>
      </c>
      <c r="B1" s="331"/>
      <c r="C1" s="331"/>
      <c r="D1" s="331"/>
      <c r="E1" s="331"/>
      <c r="F1" s="331"/>
      <c r="G1" s="331"/>
      <c r="H1" s="131"/>
      <c r="I1" s="131"/>
      <c r="J1" s="131"/>
      <c r="K1" s="131"/>
      <c r="L1" s="131"/>
      <c r="M1" s="131"/>
      <c r="N1" s="131"/>
      <c r="O1" s="131"/>
      <c r="P1" s="131"/>
      <c r="Q1" s="131"/>
    </row>
    <row r="2" spans="1:17" x14ac:dyDescent="0.25">
      <c r="A2" s="331" t="s">
        <v>1</v>
      </c>
      <c r="B2" s="331"/>
      <c r="C2" s="331"/>
      <c r="D2" s="331"/>
      <c r="E2" s="331"/>
      <c r="F2" s="331"/>
      <c r="G2" s="331"/>
      <c r="H2" s="131"/>
      <c r="I2" s="131"/>
      <c r="J2" s="131"/>
      <c r="K2" s="131"/>
      <c r="L2" s="131"/>
      <c r="M2" s="131"/>
      <c r="N2" s="131"/>
      <c r="O2" s="131"/>
      <c r="P2" s="131"/>
      <c r="Q2" s="131"/>
    </row>
    <row r="3" spans="1:17" x14ac:dyDescent="0.25">
      <c r="A3" s="331" t="s">
        <v>2</v>
      </c>
      <c r="B3" s="331"/>
      <c r="C3" s="331"/>
      <c r="D3" s="331"/>
      <c r="E3" s="331"/>
      <c r="F3" s="331"/>
      <c r="G3" s="331"/>
      <c r="H3" s="131"/>
      <c r="I3" s="131"/>
      <c r="J3" s="131"/>
      <c r="K3" s="131"/>
      <c r="L3" s="131"/>
      <c r="M3" s="131"/>
      <c r="N3" s="131"/>
      <c r="O3" s="131"/>
      <c r="P3" s="131"/>
      <c r="Q3" s="131"/>
    </row>
    <row r="4" spans="1:17" x14ac:dyDescent="0.25">
      <c r="A4" s="331" t="str">
        <f>'BL-1'!A4</f>
        <v>DEPARTMENT OF ARTIFICIAL INTELLIGENCE AND DATA SCIENCE</v>
      </c>
      <c r="B4" s="331"/>
      <c r="C4" s="331"/>
      <c r="D4" s="331"/>
      <c r="E4" s="331"/>
      <c r="F4" s="331"/>
      <c r="G4" s="331"/>
      <c r="H4" s="131"/>
      <c r="I4" s="131"/>
      <c r="J4" s="131"/>
      <c r="K4" s="131"/>
      <c r="L4" s="131"/>
      <c r="M4" s="131"/>
      <c r="N4" s="131"/>
      <c r="O4" s="131"/>
      <c r="P4" s="131"/>
      <c r="Q4" s="131"/>
    </row>
    <row r="5" spans="1:17" x14ac:dyDescent="0.25">
      <c r="A5" s="331" t="s">
        <v>148</v>
      </c>
      <c r="B5" s="331"/>
      <c r="C5" s="331"/>
      <c r="D5" s="331"/>
      <c r="E5" s="331"/>
      <c r="F5" s="331"/>
      <c r="G5" s="331"/>
      <c r="H5" s="131"/>
      <c r="I5" s="131"/>
      <c r="J5" s="131"/>
      <c r="K5" s="131"/>
      <c r="L5" s="131"/>
      <c r="M5" s="131"/>
      <c r="N5" s="131"/>
      <c r="O5" s="131"/>
      <c r="P5" s="131"/>
      <c r="Q5" s="131"/>
    </row>
    <row r="6" spans="1:17" x14ac:dyDescent="0.25">
      <c r="A6" s="331" t="str">
        <f>'IAT-REPORT'!B7</f>
        <v>ACADEMIC YEAR 2025-26  (ODD SEM)</v>
      </c>
      <c r="B6" s="331"/>
      <c r="C6" s="331"/>
      <c r="D6" s="331"/>
      <c r="E6" s="331"/>
      <c r="F6" s="331"/>
      <c r="G6" s="331"/>
      <c r="H6" s="1"/>
      <c r="I6" s="1"/>
      <c r="J6" s="1"/>
      <c r="K6" s="1"/>
      <c r="L6" s="1"/>
      <c r="M6" s="1"/>
      <c r="N6" s="1"/>
      <c r="O6" s="1"/>
      <c r="P6" s="1"/>
      <c r="Q6" s="1"/>
    </row>
    <row r="7" spans="1:17" x14ac:dyDescent="0.25">
      <c r="A7" s="229" t="str">
        <f>'BL-1'!A8:H8</f>
        <v>COURSE CODE / NAME: CW3551 DATA AND INFORMATION SECURITY</v>
      </c>
      <c r="B7" s="133"/>
      <c r="C7" s="133"/>
      <c r="D7" s="133"/>
      <c r="E7" s="133"/>
      <c r="F7" s="133"/>
      <c r="G7" s="133" t="str">
        <f>'BL-1'!I8</f>
        <v>BATCH: 2023-2027</v>
      </c>
      <c r="H7" s="131"/>
      <c r="I7" s="131"/>
      <c r="J7" s="131"/>
      <c r="K7" s="131"/>
      <c r="L7" s="42"/>
      <c r="M7" s="42"/>
      <c r="N7" s="42"/>
      <c r="O7" s="42"/>
      <c r="P7" s="515"/>
      <c r="Q7" s="515"/>
    </row>
    <row r="8" spans="1:17" x14ac:dyDescent="0.25">
      <c r="A8" s="229" t="str">
        <f>'BL-1'!A9:H9</f>
        <v>COURSE INSTRUCTOR/DESIGNATION: G. ALISHA EVANGELINE,AP/ADS</v>
      </c>
      <c r="B8" s="133"/>
      <c r="C8" s="133"/>
      <c r="D8" s="133"/>
      <c r="E8" s="133"/>
      <c r="F8" s="133"/>
      <c r="G8" s="133" t="str">
        <f>'BL-1'!I9</f>
        <v>CLASS  : III ADS</v>
      </c>
      <c r="H8" s="131"/>
      <c r="I8" s="131"/>
      <c r="J8" s="131"/>
      <c r="K8" s="131"/>
      <c r="L8" s="42"/>
      <c r="M8" s="42"/>
      <c r="N8" s="43"/>
      <c r="O8" s="43"/>
      <c r="P8" s="43"/>
      <c r="Q8" s="135" t="s">
        <v>68</v>
      </c>
    </row>
    <row r="9" spans="1:17" x14ac:dyDescent="0.25">
      <c r="A9" s="516" t="str">
        <f>UPPER('IAT-1'!O9)</f>
        <v>NO. OF STUDENTS IN THE CLASS: 57</v>
      </c>
      <c r="B9" s="516"/>
      <c r="C9" s="516"/>
      <c r="D9" s="516"/>
      <c r="E9" s="133"/>
      <c r="F9" s="133"/>
      <c r="G9" s="133" t="str">
        <f>'BL-1'!M8</f>
        <v>SEM:05</v>
      </c>
      <c r="H9" s="131"/>
      <c r="I9" s="131"/>
      <c r="J9" s="131"/>
      <c r="K9" s="131"/>
      <c r="L9" s="42"/>
      <c r="M9" s="42"/>
      <c r="N9" s="43"/>
      <c r="O9" s="43"/>
      <c r="P9" s="43"/>
      <c r="Q9" s="135"/>
    </row>
    <row r="10" spans="1:17" ht="8.25" customHeight="1" x14ac:dyDescent="0.25">
      <c r="A10" s="166"/>
      <c r="B10" s="166"/>
      <c r="C10" s="136"/>
      <c r="D10" s="133"/>
      <c r="E10" s="133"/>
      <c r="F10" s="133"/>
      <c r="G10" s="133"/>
      <c r="H10" s="131"/>
      <c r="I10" s="131"/>
      <c r="J10" s="131"/>
      <c r="K10" s="131"/>
      <c r="L10" s="42"/>
      <c r="M10" s="42"/>
      <c r="N10" s="43"/>
      <c r="O10" s="43"/>
      <c r="P10" s="43"/>
      <c r="Q10" s="135"/>
    </row>
    <row r="11" spans="1:17" x14ac:dyDescent="0.25">
      <c r="A11" s="137" t="str">
        <f>'[2]BL-1'!A12</f>
        <v>COURSE OUTCOMES:</v>
      </c>
      <c r="B11" s="137"/>
      <c r="C11" s="138"/>
      <c r="D11" s="138"/>
      <c r="E11" s="138"/>
      <c r="F11" s="138"/>
    </row>
    <row r="12" spans="1:17" ht="15.75" x14ac:dyDescent="0.25">
      <c r="A12" s="12" t="str">
        <f>'BL-1'!A12</f>
        <v>CO 1</v>
      </c>
      <c r="B12" s="116" t="str">
        <f>'BL-1'!B12</f>
        <v>Understand the basics of data and information security</v>
      </c>
      <c r="C12" s="138"/>
      <c r="D12" s="138"/>
      <c r="E12" s="138"/>
      <c r="F12" s="138"/>
    </row>
    <row r="13" spans="1:17" ht="15.75" x14ac:dyDescent="0.25">
      <c r="A13" s="12" t="str">
        <f>'BL-1'!A13</f>
        <v>CO 2</v>
      </c>
      <c r="B13" s="117" t="str">
        <f>'BL-1'!B13</f>
        <v>Understand the legal, ethical and professional issues in information security</v>
      </c>
      <c r="C13" s="138"/>
      <c r="D13" s="138"/>
      <c r="E13" s="138"/>
      <c r="F13" s="138"/>
    </row>
    <row r="14" spans="1:17" ht="15.75" x14ac:dyDescent="0.25">
      <c r="A14" s="12" t="str">
        <f>'BL-1'!A14</f>
        <v>CO 3</v>
      </c>
      <c r="B14" s="117" t="str">
        <f>'BL-1'!B14</f>
        <v>Understand the various authentication schemes to simulate different applications</v>
      </c>
      <c r="C14" s="138"/>
      <c r="D14" s="138"/>
      <c r="E14" s="138"/>
      <c r="F14" s="138"/>
    </row>
    <row r="15" spans="1:17" ht="15.75" x14ac:dyDescent="0.25">
      <c r="A15" s="12" t="str">
        <f>'BL-1'!A15</f>
        <v>CO 4</v>
      </c>
      <c r="B15" s="117" t="str">
        <f>'BL-1'!B15</f>
        <v>Understand various security practices and system security standards</v>
      </c>
      <c r="C15" s="138"/>
      <c r="D15" s="138"/>
      <c r="E15" s="138"/>
      <c r="F15" s="138"/>
    </row>
    <row r="16" spans="1:17" ht="15.75" x14ac:dyDescent="0.25">
      <c r="A16" s="13" t="str">
        <f>'BL-1'!A16</f>
        <v>CO 5</v>
      </c>
      <c r="B16" s="117" t="str">
        <f>'BL-1'!B16</f>
        <v>Understand the web security protocols for E-commerce applications</v>
      </c>
      <c r="C16" s="138"/>
      <c r="D16" s="138"/>
      <c r="E16" s="138"/>
      <c r="F16" s="138"/>
    </row>
    <row r="17" spans="1:21" x14ac:dyDescent="0.25">
      <c r="A17" s="132"/>
      <c r="B17" s="139"/>
      <c r="C17" s="138"/>
      <c r="D17" s="138"/>
      <c r="E17" s="138"/>
      <c r="F17" s="138"/>
    </row>
    <row r="18" spans="1:21" ht="15" customHeight="1" x14ac:dyDescent="0.3">
      <c r="B18" s="517" t="s">
        <v>166</v>
      </c>
      <c r="C18" s="517"/>
      <c r="D18" s="517"/>
      <c r="E18" s="517"/>
      <c r="F18" s="517"/>
      <c r="G18" s="517"/>
      <c r="H18" s="140"/>
      <c r="I18" s="103"/>
      <c r="P18" s="103"/>
      <c r="Q18" s="141"/>
      <c r="R18" s="141"/>
      <c r="S18" s="141"/>
      <c r="T18" s="141"/>
      <c r="U18" s="141"/>
    </row>
    <row r="19" spans="1:21" ht="31.5" customHeight="1" x14ac:dyDescent="0.25">
      <c r="B19" s="55" t="s">
        <v>157</v>
      </c>
      <c r="C19" s="55" t="s">
        <v>167</v>
      </c>
      <c r="D19" s="55" t="s">
        <v>168</v>
      </c>
      <c r="E19" s="55" t="s">
        <v>169</v>
      </c>
      <c r="F19" s="53" t="s">
        <v>170</v>
      </c>
      <c r="G19" s="77" t="s">
        <v>171</v>
      </c>
      <c r="I19" s="103"/>
      <c r="P19" s="103"/>
      <c r="Q19" s="141"/>
      <c r="R19" s="141"/>
      <c r="S19" s="141"/>
      <c r="T19" s="141"/>
      <c r="U19" s="141"/>
    </row>
    <row r="20" spans="1:21" ht="15.75" x14ac:dyDescent="0.25">
      <c r="B20" s="142" t="str">
        <f>'[2]BL-1'!B22</f>
        <v>CO 1</v>
      </c>
      <c r="C20" s="143">
        <f>'IAT-REPORT'!P83</f>
        <v>3</v>
      </c>
      <c r="D20" s="144">
        <f>'OVERALL CO ATT'!J83</f>
        <v>3</v>
      </c>
      <c r="E20" s="518">
        <f>UNIV!F80</f>
        <v>3</v>
      </c>
      <c r="F20" s="145">
        <f>'COURSE END SURVEY'!E80</f>
        <v>3</v>
      </c>
      <c r="G20" s="146">
        <f t="shared" ref="G20:G25" si="0">AVERAGE(C20,D20,$E$20,F20)</f>
        <v>3</v>
      </c>
      <c r="I20" s="103"/>
      <c r="P20" s="103"/>
      <c r="Q20" s="141"/>
      <c r="R20" s="141"/>
      <c r="S20" s="141"/>
      <c r="T20" s="141"/>
      <c r="U20" s="141"/>
    </row>
    <row r="21" spans="1:21" ht="15.75" x14ac:dyDescent="0.25">
      <c r="B21" s="142" t="str">
        <f>'[2]BL-1'!B23</f>
        <v>CO 2</v>
      </c>
      <c r="C21" s="143">
        <f>'IAT-REPORT'!Q83</f>
        <v>2</v>
      </c>
      <c r="D21" s="144">
        <f>'OVERALL CO ATT'!K83</f>
        <v>3</v>
      </c>
      <c r="E21" s="519"/>
      <c r="F21" s="145">
        <f>'COURSE END SURVEY'!F80</f>
        <v>3</v>
      </c>
      <c r="G21" s="122">
        <f t="shared" si="0"/>
        <v>2.75</v>
      </c>
      <c r="I21" s="103"/>
      <c r="P21" s="103"/>
      <c r="Q21" s="141"/>
      <c r="R21" s="141"/>
      <c r="S21" s="141"/>
      <c r="T21" s="141"/>
      <c r="U21" s="141"/>
    </row>
    <row r="22" spans="1:21" ht="15.75" x14ac:dyDescent="0.25">
      <c r="B22" s="142" t="str">
        <f>'[2]BL-1'!B24</f>
        <v>CO 3</v>
      </c>
      <c r="C22" s="143">
        <f>'IAT-REPORT'!R83</f>
        <v>3</v>
      </c>
      <c r="D22" s="144">
        <f>'OVERALL CO ATT'!L83</f>
        <v>3</v>
      </c>
      <c r="E22" s="519"/>
      <c r="F22" s="145">
        <f>'COURSE END SURVEY'!G80</f>
        <v>3</v>
      </c>
      <c r="G22" s="122">
        <f t="shared" si="0"/>
        <v>3</v>
      </c>
      <c r="I22" s="103"/>
      <c r="P22" s="103"/>
      <c r="Q22" s="141"/>
      <c r="R22" s="141"/>
      <c r="S22" s="141"/>
      <c r="T22" s="141"/>
      <c r="U22" s="141"/>
    </row>
    <row r="23" spans="1:21" ht="15.75" x14ac:dyDescent="0.25">
      <c r="B23" s="142" t="str">
        <f>'[2]BL-1'!B25</f>
        <v>CO 4</v>
      </c>
      <c r="C23" s="143">
        <f>'IAT-REPORT'!S83</f>
        <v>0</v>
      </c>
      <c r="D23" s="144">
        <f>'OVERALL CO ATT'!M83</f>
        <v>3</v>
      </c>
      <c r="E23" s="519"/>
      <c r="F23" s="145">
        <f>'COURSE END SURVEY'!H80</f>
        <v>3</v>
      </c>
      <c r="G23" s="122">
        <f t="shared" si="0"/>
        <v>2.25</v>
      </c>
      <c r="I23" s="103"/>
      <c r="P23" s="103"/>
      <c r="Q23" s="141"/>
      <c r="R23" s="141"/>
      <c r="S23" s="141"/>
      <c r="T23" s="141"/>
      <c r="U23" s="141"/>
    </row>
    <row r="24" spans="1:21" ht="15.75" x14ac:dyDescent="0.25">
      <c r="B24" s="142" t="str">
        <f>'[2]BL-1'!B26</f>
        <v>CO 5</v>
      </c>
      <c r="C24" s="143">
        <f>'IAT-REPORT'!T83</f>
        <v>3</v>
      </c>
      <c r="D24" s="144">
        <f>'OVERALL CO ATT'!N83</f>
        <v>3</v>
      </c>
      <c r="E24" s="519"/>
      <c r="F24" s="145">
        <f>'COURSE END SURVEY'!I80</f>
        <v>3</v>
      </c>
      <c r="G24" s="146">
        <f t="shared" si="0"/>
        <v>3</v>
      </c>
      <c r="I24" s="103"/>
      <c r="P24" s="103"/>
      <c r="Q24" s="103"/>
    </row>
    <row r="25" spans="1:21" ht="15.75" x14ac:dyDescent="0.25">
      <c r="B25" s="147" t="s">
        <v>61</v>
      </c>
      <c r="C25" s="148">
        <f>AVERAGE(C20:C24)</f>
        <v>2.2000000000000002</v>
      </c>
      <c r="D25" s="148">
        <f>AVERAGE(D20:D24)</f>
        <v>3</v>
      </c>
      <c r="E25" s="148">
        <f>E20</f>
        <v>3</v>
      </c>
      <c r="F25" s="149">
        <f>AVERAGE(F20:F24)</f>
        <v>3</v>
      </c>
      <c r="G25" s="150">
        <f t="shared" si="0"/>
        <v>2.8</v>
      </c>
      <c r="I25" s="103"/>
      <c r="P25" s="103"/>
      <c r="Q25" s="103"/>
    </row>
    <row r="26" spans="1:21" ht="15.75" customHeight="1" x14ac:dyDescent="0.25">
      <c r="B26" s="520" t="s">
        <v>172</v>
      </c>
      <c r="C26" s="521"/>
      <c r="D26" s="132"/>
      <c r="E26" s="132"/>
      <c r="F26" s="151" t="s">
        <v>173</v>
      </c>
      <c r="G26" s="152"/>
      <c r="H26" s="10"/>
      <c r="I26" s="103"/>
      <c r="P26" s="103"/>
      <c r="Q26" s="103"/>
    </row>
    <row r="27" spans="1:21" ht="20.25" customHeight="1" x14ac:dyDescent="0.25">
      <c r="B27" s="522" t="s">
        <v>299</v>
      </c>
      <c r="C27" s="522"/>
      <c r="D27" s="153">
        <f>0.6*C25</f>
        <v>1.32</v>
      </c>
      <c r="E27" s="230"/>
      <c r="F27" s="155" t="s">
        <v>174</v>
      </c>
      <c r="G27" s="55">
        <f>E25</f>
        <v>3</v>
      </c>
      <c r="H27" s="10"/>
      <c r="I27" s="103"/>
      <c r="P27" s="103"/>
      <c r="Q27" s="103"/>
    </row>
    <row r="28" spans="1:21" ht="20.25" customHeight="1" x14ac:dyDescent="0.25">
      <c r="B28" s="522" t="s">
        <v>300</v>
      </c>
      <c r="C28" s="522"/>
      <c r="D28" s="154">
        <f>D25*0.4</f>
        <v>1.2000000000000002</v>
      </c>
      <c r="E28" s="230"/>
      <c r="F28" s="230"/>
      <c r="G28" s="229"/>
      <c r="H28" s="10"/>
      <c r="I28" s="103"/>
      <c r="P28" s="103"/>
      <c r="Q28" s="103"/>
    </row>
    <row r="29" spans="1:21" ht="15.75" customHeight="1" x14ac:dyDescent="0.25">
      <c r="B29" s="523" t="s">
        <v>175</v>
      </c>
      <c r="C29" s="523"/>
      <c r="D29" s="55">
        <f>SUM(D27:D28)</f>
        <v>2.5200000000000005</v>
      </c>
      <c r="E29" s="230"/>
      <c r="F29" s="230"/>
      <c r="G29" s="229"/>
      <c r="H29" s="10"/>
      <c r="I29" s="103"/>
      <c r="P29" s="103"/>
      <c r="Q29" s="103"/>
    </row>
    <row r="30" spans="1:21" ht="15.75" x14ac:dyDescent="0.25">
      <c r="B30" s="524" t="s">
        <v>176</v>
      </c>
      <c r="C30" s="525"/>
      <c r="D30" s="132"/>
      <c r="E30" s="526" t="s">
        <v>177</v>
      </c>
      <c r="F30" s="527"/>
      <c r="G30" s="132"/>
      <c r="H30" s="10"/>
      <c r="I30" s="103"/>
      <c r="P30" s="103"/>
      <c r="Q30" s="103"/>
    </row>
    <row r="31" spans="1:21" ht="15.75" x14ac:dyDescent="0.25">
      <c r="B31" s="155" t="s">
        <v>178</v>
      </c>
      <c r="C31" s="153">
        <f>0.5*D29</f>
        <v>1.2600000000000002</v>
      </c>
      <c r="D31" s="229"/>
      <c r="E31" s="514" t="s">
        <v>179</v>
      </c>
      <c r="F31" s="514"/>
      <c r="G31" s="154">
        <f>C33*0.8</f>
        <v>2.2080000000000002</v>
      </c>
      <c r="H31" s="10"/>
      <c r="I31" s="103"/>
      <c r="P31" s="103"/>
      <c r="Q31" s="103"/>
    </row>
    <row r="32" spans="1:21" ht="15.75" x14ac:dyDescent="0.25">
      <c r="B32" s="155" t="s">
        <v>180</v>
      </c>
      <c r="C32" s="154">
        <f>E25*0.5</f>
        <v>1.5</v>
      </c>
      <c r="D32" s="229"/>
      <c r="E32" s="514" t="s">
        <v>181</v>
      </c>
      <c r="F32" s="514"/>
      <c r="G32" s="154">
        <f>F25*0.2</f>
        <v>0.60000000000000009</v>
      </c>
      <c r="H32" s="10"/>
      <c r="I32" s="103"/>
      <c r="P32" s="103"/>
      <c r="Q32" s="103"/>
    </row>
    <row r="33" spans="2:17" ht="15.75" x14ac:dyDescent="0.25">
      <c r="B33" s="228" t="s">
        <v>182</v>
      </c>
      <c r="C33" s="55">
        <f>SUM(C31:C32)</f>
        <v>2.7600000000000002</v>
      </c>
      <c r="D33" s="229"/>
      <c r="E33" s="503" t="s">
        <v>183</v>
      </c>
      <c r="F33" s="504"/>
      <c r="G33" s="156">
        <f>SUM(G31:G32)</f>
        <v>2.8080000000000003</v>
      </c>
      <c r="H33" s="10"/>
      <c r="I33" s="103"/>
      <c r="P33" s="103"/>
      <c r="Q33" s="103"/>
    </row>
    <row r="34" spans="2:17" ht="15.75" x14ac:dyDescent="0.25">
      <c r="B34" s="132"/>
      <c r="C34" s="132"/>
      <c r="D34" s="132"/>
      <c r="E34" s="138"/>
      <c r="F34" s="138"/>
      <c r="G34" s="132"/>
      <c r="H34" s="10"/>
      <c r="I34" s="103"/>
      <c r="P34" s="103"/>
      <c r="Q34" s="103"/>
    </row>
    <row r="35" spans="2:17" ht="15.75" x14ac:dyDescent="0.25">
      <c r="B35" s="138"/>
      <c r="C35" s="138"/>
      <c r="D35" s="138"/>
      <c r="E35" s="132"/>
      <c r="F35" s="132"/>
      <c r="G35" s="132"/>
      <c r="H35" s="10"/>
      <c r="I35" s="103"/>
      <c r="P35" s="103"/>
      <c r="Q35" s="103"/>
    </row>
    <row r="36" spans="2:17" s="233" customFormat="1" ht="15.75" x14ac:dyDescent="0.25">
      <c r="B36" s="232" t="s">
        <v>83</v>
      </c>
      <c r="C36" s="229"/>
      <c r="D36" s="512" t="s">
        <v>84</v>
      </c>
      <c r="E36" s="512"/>
      <c r="F36" s="229"/>
      <c r="G36" s="231" t="s">
        <v>85</v>
      </c>
      <c r="H36" s="226"/>
      <c r="I36" s="226"/>
      <c r="J36" s="226"/>
    </row>
    <row r="37" spans="2:17" ht="15.75" x14ac:dyDescent="0.25">
      <c r="B37" s="10"/>
      <c r="C37" s="10"/>
      <c r="D37" s="10"/>
      <c r="E37" s="157"/>
      <c r="F37" s="10"/>
      <c r="G37" s="157"/>
      <c r="H37" s="10"/>
      <c r="I37" s="10"/>
      <c r="J37" s="10"/>
    </row>
    <row r="38" spans="2:17" ht="15.75" x14ac:dyDescent="0.25">
      <c r="B38" s="10"/>
      <c r="C38" s="10"/>
      <c r="D38" s="10"/>
      <c r="E38" s="157"/>
      <c r="F38" s="10"/>
      <c r="G38" s="157"/>
      <c r="H38" s="10"/>
      <c r="I38" s="10"/>
      <c r="J38" s="10"/>
    </row>
    <row r="39" spans="2:17" ht="15.75" x14ac:dyDescent="0.25">
      <c r="B39" s="505" t="s">
        <v>48</v>
      </c>
      <c r="C39" s="505"/>
      <c r="D39" s="505"/>
      <c r="E39" s="505"/>
      <c r="F39" s="505"/>
      <c r="G39" s="505"/>
      <c r="H39" s="103"/>
      <c r="O39" s="103"/>
      <c r="P39" s="103"/>
      <c r="Q39" s="103"/>
    </row>
    <row r="40" spans="2:17" ht="15.75" x14ac:dyDescent="0.25">
      <c r="B40" s="103"/>
      <c r="C40" s="158"/>
      <c r="D40" s="158"/>
      <c r="E40" s="158"/>
      <c r="F40" s="158"/>
      <c r="G40" s="103"/>
      <c r="H40" s="103"/>
      <c r="I40" s="103"/>
      <c r="J40" s="103"/>
      <c r="K40" s="103"/>
      <c r="L40" s="103"/>
      <c r="M40" s="103"/>
      <c r="N40" s="103"/>
      <c r="O40" s="103"/>
      <c r="P40" s="103"/>
      <c r="Q40" s="103"/>
    </row>
    <row r="41" spans="2:17" ht="15.75" x14ac:dyDescent="0.25">
      <c r="B41" s="506" t="s">
        <v>49</v>
      </c>
      <c r="C41" s="506"/>
      <c r="D41" s="506"/>
      <c r="E41" s="506"/>
      <c r="F41" s="506"/>
      <c r="G41" s="506"/>
      <c r="H41" s="506"/>
      <c r="I41" s="506"/>
      <c r="J41" s="506"/>
      <c r="K41" s="506"/>
      <c r="L41" s="506"/>
      <c r="M41" s="506"/>
      <c r="N41" s="506"/>
      <c r="O41" s="506"/>
      <c r="P41" s="506"/>
      <c r="Q41" s="506"/>
    </row>
    <row r="42" spans="2:17" ht="15.75" x14ac:dyDescent="0.25">
      <c r="B42" s="507" t="s">
        <v>28</v>
      </c>
      <c r="C42" s="509" t="s">
        <v>50</v>
      </c>
      <c r="D42" s="510"/>
      <c r="E42" s="510"/>
      <c r="F42" s="510"/>
      <c r="G42" s="510"/>
      <c r="H42" s="510"/>
      <c r="I42" s="510"/>
      <c r="J42" s="510"/>
      <c r="K42" s="510"/>
      <c r="L42" s="510"/>
      <c r="M42" s="510"/>
      <c r="N42" s="511"/>
      <c r="O42" s="513" t="s">
        <v>51</v>
      </c>
      <c r="P42" s="513"/>
      <c r="Q42" s="513"/>
    </row>
    <row r="43" spans="2:17" ht="15.75" x14ac:dyDescent="0.25">
      <c r="B43" s="508"/>
      <c r="C43" s="159" t="s">
        <v>52</v>
      </c>
      <c r="D43" s="159" t="s">
        <v>53</v>
      </c>
      <c r="E43" s="159" t="s">
        <v>54</v>
      </c>
      <c r="F43" s="159" t="s">
        <v>55</v>
      </c>
      <c r="G43" s="159" t="s">
        <v>56</v>
      </c>
      <c r="H43" s="159" t="s">
        <v>62</v>
      </c>
      <c r="I43" s="159" t="s">
        <v>63</v>
      </c>
      <c r="J43" s="159" t="s">
        <v>64</v>
      </c>
      <c r="K43" s="159" t="s">
        <v>65</v>
      </c>
      <c r="L43" s="159" t="s">
        <v>66</v>
      </c>
      <c r="M43" s="159" t="s">
        <v>57</v>
      </c>
      <c r="N43" s="159" t="s">
        <v>58</v>
      </c>
      <c r="O43" s="160" t="s">
        <v>59</v>
      </c>
      <c r="P43" s="160" t="s">
        <v>60</v>
      </c>
      <c r="Q43" s="160" t="s">
        <v>109</v>
      </c>
    </row>
    <row r="44" spans="2:17" ht="15.75" x14ac:dyDescent="0.25">
      <c r="B44" s="159" t="str">
        <f>'END REPORT'!B20</f>
        <v>CO 1</v>
      </c>
      <c r="C44" s="59">
        <v>3</v>
      </c>
      <c r="D44" s="59">
        <v>1</v>
      </c>
      <c r="E44" s="59">
        <v>3</v>
      </c>
      <c r="F44" s="59">
        <v>3</v>
      </c>
      <c r="G44" s="59"/>
      <c r="H44" s="59"/>
      <c r="I44" s="59"/>
      <c r="J44" s="59"/>
      <c r="K44" s="59">
        <v>2</v>
      </c>
      <c r="L44" s="59">
        <v>3</v>
      </c>
      <c r="M44" s="59">
        <v>3</v>
      </c>
      <c r="N44" s="59">
        <v>1</v>
      </c>
      <c r="O44" s="59">
        <v>2</v>
      </c>
      <c r="P44" s="102">
        <v>1</v>
      </c>
      <c r="Q44" s="102">
        <v>1</v>
      </c>
    </row>
    <row r="45" spans="2:17" ht="15.75" x14ac:dyDescent="0.25">
      <c r="B45" s="159" t="str">
        <f>'END REPORT'!B21</f>
        <v>CO 2</v>
      </c>
      <c r="C45" s="59">
        <v>2</v>
      </c>
      <c r="D45" s="59">
        <v>2</v>
      </c>
      <c r="E45" s="59">
        <v>1</v>
      </c>
      <c r="F45" s="59">
        <v>1</v>
      </c>
      <c r="G45" s="59">
        <v>1</v>
      </c>
      <c r="H45" s="59"/>
      <c r="I45" s="59"/>
      <c r="J45" s="59"/>
      <c r="K45" s="59">
        <v>2</v>
      </c>
      <c r="L45" s="59">
        <v>2</v>
      </c>
      <c r="M45" s="59">
        <v>3</v>
      </c>
      <c r="N45" s="59">
        <v>1</v>
      </c>
      <c r="O45" s="59">
        <v>3</v>
      </c>
      <c r="P45" s="102">
        <v>2</v>
      </c>
      <c r="Q45" s="102">
        <v>2</v>
      </c>
    </row>
    <row r="46" spans="2:17" ht="15.75" x14ac:dyDescent="0.25">
      <c r="B46" s="159" t="str">
        <f>'END REPORT'!B22</f>
        <v>CO 3</v>
      </c>
      <c r="C46" s="59">
        <v>2</v>
      </c>
      <c r="D46" s="59">
        <v>1</v>
      </c>
      <c r="E46" s="59">
        <v>2</v>
      </c>
      <c r="F46" s="59">
        <v>1</v>
      </c>
      <c r="G46" s="59"/>
      <c r="H46" s="59"/>
      <c r="I46" s="59"/>
      <c r="J46" s="59"/>
      <c r="K46" s="59">
        <v>2</v>
      </c>
      <c r="L46" s="59">
        <v>1</v>
      </c>
      <c r="M46" s="59">
        <v>1</v>
      </c>
      <c r="N46" s="59">
        <v>3</v>
      </c>
      <c r="O46" s="59">
        <v>1</v>
      </c>
      <c r="P46" s="102">
        <v>2</v>
      </c>
      <c r="Q46" s="102">
        <v>1</v>
      </c>
    </row>
    <row r="47" spans="2:17" ht="15.75" x14ac:dyDescent="0.25">
      <c r="B47" s="159" t="str">
        <f>'END REPORT'!B23</f>
        <v>CO 4</v>
      </c>
      <c r="C47" s="59">
        <v>2</v>
      </c>
      <c r="D47" s="59">
        <v>1</v>
      </c>
      <c r="E47" s="59">
        <v>2</v>
      </c>
      <c r="F47" s="59">
        <v>2</v>
      </c>
      <c r="G47" s="59"/>
      <c r="H47" s="59"/>
      <c r="I47" s="59"/>
      <c r="J47" s="59"/>
      <c r="K47" s="59">
        <v>3</v>
      </c>
      <c r="L47" s="59">
        <v>2</v>
      </c>
      <c r="M47" s="59">
        <v>1</v>
      </c>
      <c r="N47" s="59">
        <v>2</v>
      </c>
      <c r="O47" s="59">
        <v>1</v>
      </c>
      <c r="P47" s="102">
        <v>3</v>
      </c>
      <c r="Q47" s="102">
        <v>3</v>
      </c>
    </row>
    <row r="48" spans="2:17" ht="15.75" x14ac:dyDescent="0.25">
      <c r="B48" s="161" t="str">
        <f>'END REPORT'!B24</f>
        <v>CO 5</v>
      </c>
      <c r="C48" s="59">
        <v>3</v>
      </c>
      <c r="D48" s="59">
        <v>2</v>
      </c>
      <c r="E48" s="59">
        <v>2</v>
      </c>
      <c r="F48" s="59">
        <v>1</v>
      </c>
      <c r="G48" s="59">
        <v>1</v>
      </c>
      <c r="H48" s="59"/>
      <c r="I48" s="59"/>
      <c r="J48" s="59"/>
      <c r="K48" s="59">
        <v>2</v>
      </c>
      <c r="L48" s="59">
        <v>2</v>
      </c>
      <c r="M48" s="59">
        <v>2</v>
      </c>
      <c r="N48" s="59">
        <v>2</v>
      </c>
      <c r="O48" s="59">
        <v>2</v>
      </c>
      <c r="P48" s="102">
        <v>2</v>
      </c>
      <c r="Q48" s="102">
        <v>1</v>
      </c>
    </row>
    <row r="49" spans="2:17" ht="15.75" x14ac:dyDescent="0.25">
      <c r="B49" s="161"/>
      <c r="C49" s="59"/>
      <c r="D49" s="59"/>
      <c r="E49" s="59"/>
      <c r="F49" s="59"/>
      <c r="G49" s="59"/>
      <c r="H49" s="59"/>
      <c r="I49" s="59"/>
      <c r="J49" s="59"/>
      <c r="K49" s="59"/>
      <c r="L49" s="59"/>
      <c r="M49" s="59"/>
      <c r="N49" s="59"/>
      <c r="O49" s="59"/>
      <c r="P49" s="102"/>
      <c r="Q49" s="102"/>
    </row>
    <row r="50" spans="2:17" ht="15.75" x14ac:dyDescent="0.25">
      <c r="B50" s="47" t="s">
        <v>184</v>
      </c>
      <c r="C50" s="162">
        <f>IF(SUM(C44:C49)&lt;&gt;0,ROUND(AVERAGE(C44:C49),0),"")</f>
        <v>2</v>
      </c>
      <c r="D50" s="162">
        <f>IF(SUM(D44:D49)&lt;&gt;0,ROUND(AVERAGE(D44:D49),0),"")</f>
        <v>1</v>
      </c>
      <c r="E50" s="162">
        <f>IF(SUM(E44:E49)&lt;&gt;0,ROUND(AVERAGE(E44:E49),0),"")</f>
        <v>2</v>
      </c>
      <c r="F50" s="162">
        <f>IF(SUM(F44:F49)&lt;&gt;0,ROUND(AVERAGE(F44:F49),0),"")</f>
        <v>2</v>
      </c>
      <c r="G50" s="162">
        <f>IF(SUM(G44:G49)&lt;&gt;0,ROUND(AVERAGE(G44:G49),0),"")</f>
        <v>1</v>
      </c>
      <c r="H50" s="162" t="str">
        <f t="shared" ref="H50:O50" si="1">IF(SUM(H44:H48)&lt;&gt;0,ROUND(AVERAGE(H44:H48),0),"")</f>
        <v/>
      </c>
      <c r="I50" s="162" t="str">
        <f t="shared" si="1"/>
        <v/>
      </c>
      <c r="J50" s="162" t="str">
        <f>IF(SUM(J44:J49)&lt;&gt;0,ROUND(AVERAGE(J44:J49),0),"")</f>
        <v/>
      </c>
      <c r="K50" s="162">
        <f>IF(SUM(K44:K49)&lt;&gt;0,ROUND(AVERAGE(K44:K49),0),"")</f>
        <v>2</v>
      </c>
      <c r="L50" s="162">
        <f>IF(SUM(L44:L49)&lt;&gt;0,ROUND(AVERAGE(L44:L49),0),"")</f>
        <v>2</v>
      </c>
      <c r="M50" s="162">
        <f t="shared" si="1"/>
        <v>2</v>
      </c>
      <c r="N50" s="162">
        <f>IF(SUM(N44:N49)&lt;&gt;0,ROUND(AVERAGE(N44:N49),0),"")</f>
        <v>2</v>
      </c>
      <c r="O50" s="162">
        <f t="shared" si="1"/>
        <v>2</v>
      </c>
      <c r="P50" s="162">
        <f>IF(SUM(P44:P49)&lt;&gt;0,ROUND(AVERAGE(P44:P49),0),"")</f>
        <v>2</v>
      </c>
      <c r="Q50" s="162">
        <f>IF(SUM(Q44:Q49)&lt;&gt;0,ROUND(AVERAGE(Q44:Q49),0),"")</f>
        <v>2</v>
      </c>
    </row>
    <row r="51" spans="2:17" ht="15.75" x14ac:dyDescent="0.25">
      <c r="B51" s="163" t="s">
        <v>99</v>
      </c>
      <c r="C51" s="164">
        <f>IF(C50=1,1*0.17*$G$33,IF(C50=2,2*0.33*$G$33,IF(C50=3,IF(3*0.5*$G$33&gt;3,3,3*0.5*$G$33),"")))</f>
        <v>1.8532800000000003</v>
      </c>
      <c r="D51" s="164">
        <f t="shared" ref="D51:Q51" si="2">IF(D50=1,1*0.17*$G$33,IF(D50=2,2*0.33*$G$33,IF(D50=3,IF(3*0.5*$G$33&gt;3,3,3*0.5*$G$33),"")))</f>
        <v>0.47736000000000006</v>
      </c>
      <c r="E51" s="164">
        <f t="shared" si="2"/>
        <v>1.8532800000000003</v>
      </c>
      <c r="F51" s="164">
        <f t="shared" si="2"/>
        <v>1.8532800000000003</v>
      </c>
      <c r="G51" s="164">
        <f t="shared" si="2"/>
        <v>0.47736000000000006</v>
      </c>
      <c r="H51" s="164" t="str">
        <f t="shared" si="2"/>
        <v/>
      </c>
      <c r="I51" s="164" t="str">
        <f t="shared" si="2"/>
        <v/>
      </c>
      <c r="J51" s="164" t="str">
        <f t="shared" si="2"/>
        <v/>
      </c>
      <c r="K51" s="164">
        <f t="shared" si="2"/>
        <v>1.8532800000000003</v>
      </c>
      <c r="L51" s="164">
        <f t="shared" si="2"/>
        <v>1.8532800000000003</v>
      </c>
      <c r="M51" s="164">
        <f t="shared" si="2"/>
        <v>1.8532800000000003</v>
      </c>
      <c r="N51" s="164">
        <f t="shared" si="2"/>
        <v>1.8532800000000003</v>
      </c>
      <c r="O51" s="164">
        <f t="shared" si="2"/>
        <v>1.8532800000000003</v>
      </c>
      <c r="P51" s="164">
        <f t="shared" si="2"/>
        <v>1.8532800000000003</v>
      </c>
      <c r="Q51" s="164">
        <f t="shared" si="2"/>
        <v>1.8532800000000003</v>
      </c>
    </row>
    <row r="52" spans="2:17" ht="15.75" x14ac:dyDescent="0.25">
      <c r="B52" s="103"/>
      <c r="C52" s="103"/>
      <c r="D52" s="103"/>
      <c r="E52" s="103"/>
      <c r="F52" s="103"/>
      <c r="G52" s="103"/>
      <c r="H52" s="103"/>
      <c r="I52" s="103"/>
      <c r="J52" s="103"/>
      <c r="K52" s="103"/>
      <c r="L52" s="103"/>
      <c r="M52" s="103"/>
      <c r="N52" s="103"/>
      <c r="O52" s="103"/>
      <c r="P52" s="103"/>
      <c r="Q52" s="103"/>
    </row>
    <row r="53" spans="2:17" ht="15.75" x14ac:dyDescent="0.25">
      <c r="P53" s="103"/>
    </row>
    <row r="54" spans="2:17" ht="15.75" x14ac:dyDescent="0.25">
      <c r="B54" s="165" t="s">
        <v>185</v>
      </c>
      <c r="C54" s="10"/>
      <c r="D54" s="10"/>
      <c r="E54" s="157" t="s">
        <v>84</v>
      </c>
      <c r="F54" s="10"/>
      <c r="G54" s="157" t="s">
        <v>85</v>
      </c>
      <c r="H54" s="10"/>
      <c r="I54" s="10"/>
      <c r="J54" s="10"/>
    </row>
  </sheetData>
  <mergeCells count="26">
    <mergeCell ref="A6:G6"/>
    <mergeCell ref="A1:G1"/>
    <mergeCell ref="A2:G2"/>
    <mergeCell ref="A3:G3"/>
    <mergeCell ref="A4:G4"/>
    <mergeCell ref="A5:G5"/>
    <mergeCell ref="E32:F32"/>
    <mergeCell ref="P7:Q7"/>
    <mergeCell ref="A9:B9"/>
    <mergeCell ref="B18:G18"/>
    <mergeCell ref="E20:E24"/>
    <mergeCell ref="B26:C26"/>
    <mergeCell ref="B27:C27"/>
    <mergeCell ref="C9:D9"/>
    <mergeCell ref="B28:C28"/>
    <mergeCell ref="B29:C29"/>
    <mergeCell ref="B30:C30"/>
    <mergeCell ref="E30:F30"/>
    <mergeCell ref="E31:F31"/>
    <mergeCell ref="E33:F33"/>
    <mergeCell ref="B39:G39"/>
    <mergeCell ref="B41:Q41"/>
    <mergeCell ref="B42:B43"/>
    <mergeCell ref="C42:N42"/>
    <mergeCell ref="D36:E36"/>
    <mergeCell ref="O42:Q42"/>
  </mergeCells>
  <phoneticPr fontId="58" type="noConversion"/>
  <pageMargins left="0.7" right="0.2" top="0.2" bottom="0.2" header="0.15" footer="0.18"/>
  <pageSetup paperSize="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53"/>
  <sheetViews>
    <sheetView zoomScale="86" zoomScaleNormal="86" workbookViewId="0">
      <selection activeCell="H20" sqref="H20"/>
    </sheetView>
  </sheetViews>
  <sheetFormatPr defaultRowHeight="15" x14ac:dyDescent="0.25"/>
  <cols>
    <col min="1" max="1" width="9.7109375" customWidth="1"/>
    <col min="2" max="2" width="13.5703125" customWidth="1"/>
    <col min="3" max="3" width="17.42578125" customWidth="1"/>
    <col min="4" max="4" width="13.5703125" customWidth="1"/>
    <col min="5" max="5" width="21" customWidth="1"/>
    <col min="6" max="6" width="10.85546875" customWidth="1"/>
    <col min="7" max="7" width="28.85546875" customWidth="1"/>
    <col min="8" max="8" width="23.42578125" customWidth="1"/>
    <col min="9" max="9" width="11.85546875" customWidth="1"/>
    <col min="11" max="11" width="18.7109375" customWidth="1"/>
  </cols>
  <sheetData>
    <row r="1" spans="1:27" x14ac:dyDescent="0.25">
      <c r="C1" s="331" t="str">
        <f>'BL-1'!A1</f>
        <v>JAYARAJ ANNAPACKIAM C. S. I. COLLEGE OF ENGINEERING</v>
      </c>
      <c r="D1" s="331"/>
      <c r="E1" s="331"/>
      <c r="F1" s="331"/>
      <c r="G1" s="331"/>
      <c r="H1" s="331"/>
      <c r="I1" s="331"/>
      <c r="J1" s="331"/>
      <c r="K1" s="331"/>
      <c r="L1" s="331"/>
      <c r="M1" s="331"/>
    </row>
    <row r="2" spans="1:27" x14ac:dyDescent="0.25">
      <c r="C2" s="331" t="str">
        <f>'BL-1'!A2</f>
        <v>(Approved by AICTE, New Delhi and Affiliated to Anna University)</v>
      </c>
      <c r="D2" s="331"/>
      <c r="E2" s="331"/>
      <c r="F2" s="331"/>
      <c r="G2" s="331"/>
      <c r="H2" s="331"/>
      <c r="I2" s="331"/>
      <c r="J2" s="331"/>
      <c r="K2" s="331"/>
      <c r="L2" s="331"/>
      <c r="M2" s="331"/>
    </row>
    <row r="3" spans="1:27" x14ac:dyDescent="0.25">
      <c r="C3" s="331" t="str">
        <f>'BL-1'!A3</f>
        <v>MARGOSCHIS NAGAR, NAZARETH - 628 617</v>
      </c>
      <c r="D3" s="331"/>
      <c r="E3" s="331"/>
      <c r="F3" s="331"/>
      <c r="G3" s="331"/>
      <c r="H3" s="331"/>
      <c r="I3" s="331"/>
      <c r="J3" s="331"/>
      <c r="K3" s="331"/>
      <c r="L3" s="331"/>
      <c r="M3" s="331"/>
    </row>
    <row r="4" spans="1:27" x14ac:dyDescent="0.25">
      <c r="C4" s="331" t="str">
        <f>'BL-1'!A4</f>
        <v>DEPARTMENT OF ARTIFICIAL INTELLIGENCE AND DATA SCIENCE</v>
      </c>
      <c r="D4" s="331"/>
      <c r="E4" s="331"/>
      <c r="F4" s="331"/>
      <c r="G4" s="331"/>
      <c r="H4" s="331"/>
      <c r="I4" s="331"/>
      <c r="J4" s="331"/>
      <c r="K4" s="331"/>
      <c r="L4" s="331"/>
      <c r="M4" s="331"/>
    </row>
    <row r="5" spans="1:27" x14ac:dyDescent="0.25">
      <c r="C5" s="1"/>
      <c r="D5" s="1"/>
      <c r="E5" s="1"/>
      <c r="F5" s="1"/>
      <c r="G5" s="331" t="s">
        <v>149</v>
      </c>
      <c r="H5" s="331"/>
      <c r="I5" s="331"/>
      <c r="J5" s="1"/>
      <c r="K5" s="1"/>
      <c r="L5" s="1"/>
      <c r="M5" s="1"/>
    </row>
    <row r="6" spans="1:27" x14ac:dyDescent="0.25">
      <c r="C6" s="1"/>
      <c r="D6" s="1"/>
      <c r="E6" s="1"/>
      <c r="F6" s="1"/>
      <c r="G6" s="331" t="s">
        <v>331</v>
      </c>
      <c r="H6" s="331"/>
      <c r="I6" s="331"/>
      <c r="J6" s="1"/>
      <c r="K6" s="1"/>
      <c r="L6" s="1"/>
      <c r="M6" s="1"/>
    </row>
    <row r="7" spans="1:27" x14ac:dyDescent="0.25">
      <c r="C7" s="1"/>
      <c r="D7" s="1"/>
      <c r="E7" s="1"/>
      <c r="F7" s="1"/>
      <c r="G7" s="1"/>
      <c r="H7" s="1"/>
      <c r="I7" s="1"/>
      <c r="J7" s="1"/>
      <c r="K7" s="1"/>
      <c r="L7" s="1"/>
      <c r="M7" s="1"/>
    </row>
    <row r="8" spans="1:27" ht="15.75" x14ac:dyDescent="0.25">
      <c r="A8" s="10" t="str">
        <f>'BL-1'!A8:H8</f>
        <v>COURSE CODE / NAME: CW3551 DATA AND INFORMATION SECURITY</v>
      </c>
      <c r="B8" s="11"/>
      <c r="C8" s="11"/>
      <c r="D8" s="11"/>
      <c r="E8" s="11"/>
      <c r="F8" s="11"/>
      <c r="G8" s="11" t="str">
        <f>'BL-1'!I9</f>
        <v>CLASS  : III ADS</v>
      </c>
      <c r="H8" s="11"/>
      <c r="J8" s="11"/>
      <c r="K8" s="11" t="str">
        <f>'BL-1'!I8</f>
        <v>BATCH: 2023-2027</v>
      </c>
      <c r="L8" s="11"/>
      <c r="O8" s="11" t="str">
        <f>'BL-1'!M8</f>
        <v>SEM:05</v>
      </c>
      <c r="T8" s="22"/>
      <c r="U8" s="22"/>
    </row>
    <row r="9" spans="1:27" ht="15.75" x14ac:dyDescent="0.25">
      <c r="A9" s="10" t="str">
        <f>'BL-1'!A9:H9</f>
        <v>COURSE INSTRUCTOR/DESIGNATION: G. ALISHA EVANGELINE,AP/ADS</v>
      </c>
      <c r="B9" s="11"/>
      <c r="C9" s="11"/>
      <c r="D9" s="11"/>
      <c r="F9" s="10"/>
      <c r="G9" s="10"/>
      <c r="J9" s="11"/>
      <c r="K9" s="11"/>
      <c r="L9" s="11"/>
      <c r="M9" s="92"/>
      <c r="N9" s="408" t="s">
        <v>144</v>
      </c>
      <c r="O9" s="408"/>
      <c r="P9" s="408"/>
      <c r="Q9" s="408"/>
      <c r="R9" s="408"/>
      <c r="S9" s="88">
        <f>'IAT-1'!$Z$9</f>
        <v>57</v>
      </c>
      <c r="T9" s="22"/>
      <c r="U9" s="22"/>
    </row>
    <row r="10" spans="1:27" ht="15.75" x14ac:dyDescent="0.25">
      <c r="B10" s="10"/>
      <c r="C10" s="529" t="s">
        <v>150</v>
      </c>
      <c r="D10" s="529"/>
      <c r="E10" s="529"/>
      <c r="F10" s="529"/>
      <c r="G10" s="10"/>
      <c r="H10" s="10"/>
      <c r="J10" s="11"/>
      <c r="K10" s="11"/>
      <c r="L10" s="529" t="s">
        <v>151</v>
      </c>
      <c r="M10" s="529"/>
      <c r="N10" s="529"/>
      <c r="O10" s="529"/>
      <c r="P10" s="529"/>
      <c r="Q10" s="529"/>
      <c r="R10" s="529"/>
    </row>
    <row r="11" spans="1:27" x14ac:dyDescent="0.25">
      <c r="B11" s="9" t="s">
        <v>9</v>
      </c>
      <c r="C11" s="8"/>
      <c r="D11" s="8"/>
      <c r="E11" s="8"/>
      <c r="F11" s="8"/>
      <c r="G11" s="8"/>
      <c r="H11" s="8"/>
    </row>
    <row r="12" spans="1:27" ht="31.5" customHeight="1" x14ac:dyDescent="0.25">
      <c r="A12" s="75" t="str">
        <f>'BL-1'!A12</f>
        <v>CO 1</v>
      </c>
      <c r="B12" s="530" t="str">
        <f>'BL-1'!B12</f>
        <v>Understand the basics of data and information security</v>
      </c>
      <c r="C12" s="531">
        <f>'BL-1'!C12</f>
        <v>0</v>
      </c>
      <c r="D12" s="531">
        <f>'BL-1'!D12</f>
        <v>0</v>
      </c>
      <c r="E12" s="531">
        <f>'BL-1'!E12</f>
        <v>0</v>
      </c>
      <c r="F12" s="531">
        <f>'BL-1'!F12</f>
        <v>0</v>
      </c>
      <c r="G12" s="531">
        <f>'BL-1'!G12</f>
        <v>0</v>
      </c>
      <c r="H12" s="532">
        <f>'BL-1'!H12</f>
        <v>0</v>
      </c>
      <c r="I12" s="71">
        <f>'END REPORT'!G20</f>
        <v>3</v>
      </c>
      <c r="J12" s="19"/>
      <c r="K12" s="274" t="s">
        <v>101</v>
      </c>
      <c r="L12" s="274" t="s">
        <v>52</v>
      </c>
      <c r="M12" s="274" t="s">
        <v>53</v>
      </c>
      <c r="N12" s="274" t="s">
        <v>54</v>
      </c>
      <c r="O12" s="274" t="s">
        <v>55</v>
      </c>
      <c r="P12" s="274" t="s">
        <v>56</v>
      </c>
      <c r="Q12" s="274" t="s">
        <v>62</v>
      </c>
      <c r="R12" s="274" t="s">
        <v>63</v>
      </c>
      <c r="S12" s="274" t="s">
        <v>64</v>
      </c>
      <c r="T12" s="274" t="s">
        <v>65</v>
      </c>
      <c r="U12" s="274" t="s">
        <v>66</v>
      </c>
      <c r="V12" s="274" t="s">
        <v>57</v>
      </c>
      <c r="W12" s="274" t="s">
        <v>58</v>
      </c>
      <c r="X12" s="274" t="s">
        <v>59</v>
      </c>
      <c r="Y12" s="274" t="s">
        <v>60</v>
      </c>
      <c r="Z12" s="296" t="s">
        <v>109</v>
      </c>
      <c r="AA12" s="28"/>
    </row>
    <row r="13" spans="1:27" ht="15.75" x14ac:dyDescent="0.25">
      <c r="A13" s="75" t="str">
        <f>'BL-1'!A13</f>
        <v>CO 2</v>
      </c>
      <c r="B13" s="533" t="str">
        <f>'BL-1'!B13</f>
        <v>Understand the legal, ethical and professional issues in information security</v>
      </c>
      <c r="C13" s="541">
        <f>'BL-1'!C13</f>
        <v>0</v>
      </c>
      <c r="D13" s="541">
        <f>'BL-1'!D13</f>
        <v>0</v>
      </c>
      <c r="E13" s="541">
        <f>'BL-1'!E13</f>
        <v>0</v>
      </c>
      <c r="F13" s="541">
        <f>'BL-1'!F13</f>
        <v>0</v>
      </c>
      <c r="G13" s="541">
        <f>'BL-1'!G13</f>
        <v>0</v>
      </c>
      <c r="H13" s="542">
        <f>'BL-1'!H13</f>
        <v>0</v>
      </c>
      <c r="I13" s="71">
        <f>'END REPORT'!G21</f>
        <v>2.75</v>
      </c>
      <c r="J13" s="20"/>
      <c r="K13" s="297" t="s">
        <v>186</v>
      </c>
      <c r="L13" s="298">
        <f>'END REPORT'!C44</f>
        <v>3</v>
      </c>
      <c r="M13" s="298">
        <f>'END REPORT'!D44</f>
        <v>1</v>
      </c>
      <c r="N13" s="298">
        <f>'END REPORT'!E44</f>
        <v>3</v>
      </c>
      <c r="O13" s="298">
        <f>'END REPORT'!F44</f>
        <v>3</v>
      </c>
      <c r="P13" s="298">
        <f>'END REPORT'!G44</f>
        <v>0</v>
      </c>
      <c r="Q13" s="298">
        <f>'END REPORT'!H44</f>
        <v>0</v>
      </c>
      <c r="R13" s="298">
        <f>'END REPORT'!I44</f>
        <v>0</v>
      </c>
      <c r="S13" s="298">
        <f>'END REPORT'!J44</f>
        <v>0</v>
      </c>
      <c r="T13" s="298">
        <f>'END REPORT'!K44</f>
        <v>2</v>
      </c>
      <c r="U13" s="298">
        <f>'END REPORT'!L44</f>
        <v>3</v>
      </c>
      <c r="V13" s="298">
        <f>'END REPORT'!M44</f>
        <v>3</v>
      </c>
      <c r="W13" s="298">
        <f>'END REPORT'!N44</f>
        <v>1</v>
      </c>
      <c r="X13" s="298">
        <f>'END REPORT'!O44</f>
        <v>2</v>
      </c>
      <c r="Y13" s="298">
        <f>'END REPORT'!P44</f>
        <v>1</v>
      </c>
      <c r="Z13" s="298">
        <f>'END REPORT'!Q44</f>
        <v>1</v>
      </c>
      <c r="AA13" s="28"/>
    </row>
    <row r="14" spans="1:27" ht="15.75" x14ac:dyDescent="0.25">
      <c r="A14" s="75" t="str">
        <f>'BL-1'!A14</f>
        <v>CO 3</v>
      </c>
      <c r="B14" s="533" t="str">
        <f>'BL-1'!B14</f>
        <v>Understand the various authentication schemes to simulate different applications</v>
      </c>
      <c r="C14" s="534">
        <f>'BL-1'!C14</f>
        <v>0</v>
      </c>
      <c r="D14" s="534">
        <f>'BL-1'!D14</f>
        <v>0</v>
      </c>
      <c r="E14" s="534">
        <f>'BL-1'!E14</f>
        <v>0</v>
      </c>
      <c r="F14" s="534">
        <f>'BL-1'!F14</f>
        <v>0</v>
      </c>
      <c r="G14" s="534">
        <f>'BL-1'!G14</f>
        <v>0</v>
      </c>
      <c r="H14" s="535">
        <f>'BL-1'!H14</f>
        <v>0</v>
      </c>
      <c r="I14" s="71">
        <f>'END REPORT'!G22</f>
        <v>3</v>
      </c>
      <c r="J14" s="20"/>
      <c r="K14" s="297" t="s">
        <v>187</v>
      </c>
      <c r="L14" s="298">
        <f>'END REPORT'!C45</f>
        <v>2</v>
      </c>
      <c r="M14" s="298">
        <f>'END REPORT'!D45</f>
        <v>2</v>
      </c>
      <c r="N14" s="298">
        <f>'END REPORT'!E45</f>
        <v>1</v>
      </c>
      <c r="O14" s="298">
        <f>'END REPORT'!F45</f>
        <v>1</v>
      </c>
      <c r="P14" s="298">
        <f>'END REPORT'!G45</f>
        <v>1</v>
      </c>
      <c r="Q14" s="298">
        <f>'END REPORT'!H45</f>
        <v>0</v>
      </c>
      <c r="R14" s="298">
        <f>'END REPORT'!I45</f>
        <v>0</v>
      </c>
      <c r="S14" s="298">
        <f>'END REPORT'!J45</f>
        <v>0</v>
      </c>
      <c r="T14" s="298">
        <f>'END REPORT'!K45</f>
        <v>2</v>
      </c>
      <c r="U14" s="298">
        <f>'END REPORT'!L45</f>
        <v>2</v>
      </c>
      <c r="V14" s="298">
        <f>'END REPORT'!M45</f>
        <v>3</v>
      </c>
      <c r="W14" s="298">
        <f>'END REPORT'!N45</f>
        <v>1</v>
      </c>
      <c r="X14" s="298">
        <f>'END REPORT'!O45</f>
        <v>3</v>
      </c>
      <c r="Y14" s="298">
        <f>'END REPORT'!P45</f>
        <v>2</v>
      </c>
      <c r="Z14" s="298">
        <f>'END REPORT'!Q45</f>
        <v>2</v>
      </c>
      <c r="AA14" s="28"/>
    </row>
    <row r="15" spans="1:27" ht="15.75" x14ac:dyDescent="0.25">
      <c r="A15" s="75" t="str">
        <f>'BL-1'!A15</f>
        <v>CO 4</v>
      </c>
      <c r="B15" s="530" t="str">
        <f>'BL-1'!B15</f>
        <v>Understand various security practices and system security standards</v>
      </c>
      <c r="C15" s="531">
        <f>'BL-1'!C15</f>
        <v>0</v>
      </c>
      <c r="D15" s="531">
        <f>'BL-1'!D15</f>
        <v>0</v>
      </c>
      <c r="E15" s="531">
        <f>'BL-1'!E15</f>
        <v>0</v>
      </c>
      <c r="F15" s="531">
        <f>'BL-1'!F15</f>
        <v>0</v>
      </c>
      <c r="G15" s="531">
        <f>'BL-1'!G15</f>
        <v>0</v>
      </c>
      <c r="H15" s="532">
        <f>'BL-1'!H15</f>
        <v>0</v>
      </c>
      <c r="I15" s="71">
        <f>'END REPORT'!G23</f>
        <v>2.25</v>
      </c>
      <c r="J15" s="20"/>
      <c r="K15" s="297" t="s">
        <v>188</v>
      </c>
      <c r="L15" s="298">
        <f>'END REPORT'!C46</f>
        <v>2</v>
      </c>
      <c r="M15" s="298">
        <f>'END REPORT'!D46</f>
        <v>1</v>
      </c>
      <c r="N15" s="298">
        <f>'END REPORT'!E46</f>
        <v>2</v>
      </c>
      <c r="O15" s="298">
        <f>'END REPORT'!F46</f>
        <v>1</v>
      </c>
      <c r="P15" s="298">
        <f>'END REPORT'!G46</f>
        <v>0</v>
      </c>
      <c r="Q15" s="298">
        <f>'END REPORT'!H46</f>
        <v>0</v>
      </c>
      <c r="R15" s="298">
        <f>'END REPORT'!I46</f>
        <v>0</v>
      </c>
      <c r="S15" s="298">
        <f>'END REPORT'!J46</f>
        <v>0</v>
      </c>
      <c r="T15" s="298">
        <f>'END REPORT'!K46</f>
        <v>2</v>
      </c>
      <c r="U15" s="298">
        <f>'END REPORT'!L46</f>
        <v>1</v>
      </c>
      <c r="V15" s="298">
        <f>'END REPORT'!M46</f>
        <v>1</v>
      </c>
      <c r="W15" s="298">
        <f>'END REPORT'!N46</f>
        <v>3</v>
      </c>
      <c r="X15" s="298">
        <f>'END REPORT'!O46</f>
        <v>1</v>
      </c>
      <c r="Y15" s="298">
        <f>'END REPORT'!P46</f>
        <v>2</v>
      </c>
      <c r="Z15" s="298">
        <f>'END REPORT'!Q46</f>
        <v>1</v>
      </c>
      <c r="AA15" s="28"/>
    </row>
    <row r="16" spans="1:27" ht="15.75" x14ac:dyDescent="0.25">
      <c r="A16" s="75" t="str">
        <f>'BL-1'!A16</f>
        <v>CO 5</v>
      </c>
      <c r="B16" s="536" t="str">
        <f>'BL-1'!B16</f>
        <v>Understand the web security protocols for E-commerce applications</v>
      </c>
      <c r="C16" s="537">
        <f>'BL-1'!C16</f>
        <v>0</v>
      </c>
      <c r="D16" s="537">
        <f>'BL-1'!D16</f>
        <v>0</v>
      </c>
      <c r="E16" s="537">
        <f>'BL-1'!E16</f>
        <v>0</v>
      </c>
      <c r="F16" s="537">
        <f>'BL-1'!F16</f>
        <v>0</v>
      </c>
      <c r="G16" s="538">
        <f>'BL-1'!G16</f>
        <v>0</v>
      </c>
      <c r="H16" s="539">
        <f>'BL-1'!H16</f>
        <v>0</v>
      </c>
      <c r="I16" s="71">
        <f>'END REPORT'!G24</f>
        <v>3</v>
      </c>
      <c r="K16" s="297" t="s">
        <v>189</v>
      </c>
      <c r="L16" s="298">
        <f>'END REPORT'!C47</f>
        <v>2</v>
      </c>
      <c r="M16" s="298">
        <f>'END REPORT'!D47</f>
        <v>1</v>
      </c>
      <c r="N16" s="298">
        <f>'END REPORT'!E47</f>
        <v>2</v>
      </c>
      <c r="O16" s="298">
        <f>'END REPORT'!F47</f>
        <v>2</v>
      </c>
      <c r="P16" s="298">
        <f>'END REPORT'!G47</f>
        <v>0</v>
      </c>
      <c r="Q16" s="298">
        <f>'END REPORT'!H47</f>
        <v>0</v>
      </c>
      <c r="R16" s="298">
        <f>'END REPORT'!I47</f>
        <v>0</v>
      </c>
      <c r="S16" s="298">
        <f>'END REPORT'!J47</f>
        <v>0</v>
      </c>
      <c r="T16" s="298">
        <f>'END REPORT'!K47</f>
        <v>3</v>
      </c>
      <c r="U16" s="298">
        <f>'END REPORT'!L47</f>
        <v>2</v>
      </c>
      <c r="V16" s="298">
        <f>'END REPORT'!M47</f>
        <v>1</v>
      </c>
      <c r="W16" s="298">
        <f>'END REPORT'!N47</f>
        <v>2</v>
      </c>
      <c r="X16" s="298">
        <f>'END REPORT'!O47</f>
        <v>1</v>
      </c>
      <c r="Y16" s="298">
        <f>'END REPORT'!P47</f>
        <v>3</v>
      </c>
      <c r="Z16" s="298">
        <f>'END REPORT'!Q47</f>
        <v>3</v>
      </c>
      <c r="AA16" s="28"/>
    </row>
    <row r="17" spans="2:27" ht="33" customHeight="1" x14ac:dyDescent="0.25">
      <c r="B17" s="12"/>
      <c r="G17" s="540" t="s">
        <v>100</v>
      </c>
      <c r="H17" s="540"/>
      <c r="I17" s="71">
        <f>'END REPORT'!G25</f>
        <v>2.8</v>
      </c>
      <c r="J17" s="56"/>
      <c r="K17" s="297" t="s">
        <v>190</v>
      </c>
      <c r="L17" s="298">
        <f>'END REPORT'!C48</f>
        <v>3</v>
      </c>
      <c r="M17" s="298">
        <f>'END REPORT'!D48</f>
        <v>2</v>
      </c>
      <c r="N17" s="298">
        <f>'END REPORT'!E48</f>
        <v>2</v>
      </c>
      <c r="O17" s="298">
        <f>'END REPORT'!F48</f>
        <v>1</v>
      </c>
      <c r="P17" s="298">
        <f>'END REPORT'!G48</f>
        <v>1</v>
      </c>
      <c r="Q17" s="298">
        <f>'END REPORT'!H48</f>
        <v>0</v>
      </c>
      <c r="R17" s="298">
        <f>'END REPORT'!I48</f>
        <v>0</v>
      </c>
      <c r="S17" s="298">
        <f>'END REPORT'!J48</f>
        <v>0</v>
      </c>
      <c r="T17" s="298">
        <f>'END REPORT'!K48</f>
        <v>2</v>
      </c>
      <c r="U17" s="298">
        <f>'END REPORT'!L48</f>
        <v>2</v>
      </c>
      <c r="V17" s="298">
        <f>'END REPORT'!M48</f>
        <v>2</v>
      </c>
      <c r="W17" s="298">
        <f>'END REPORT'!N48</f>
        <v>2</v>
      </c>
      <c r="X17" s="298">
        <f>'END REPORT'!O48</f>
        <v>2</v>
      </c>
      <c r="Y17" s="298">
        <f>'END REPORT'!P48</f>
        <v>2</v>
      </c>
      <c r="Z17" s="298">
        <f>'END REPORT'!Q48</f>
        <v>1</v>
      </c>
      <c r="AA17" s="28"/>
    </row>
    <row r="18" spans="2:27" ht="28.5" customHeight="1" x14ac:dyDescent="0.25">
      <c r="G18" s="110"/>
      <c r="H18" s="110"/>
      <c r="I18" s="110"/>
      <c r="J18" s="7"/>
      <c r="K18" s="299" t="s">
        <v>102</v>
      </c>
      <c r="L18" s="278">
        <f>IF(AND(L13="",L14="",L15="",L16="",L17=""),"",AVERAGE(L13:L17))</f>
        <v>2.4</v>
      </c>
      <c r="M18" s="278">
        <f t="shared" ref="M18:U18" si="0">IF(AND(M13="",M14="",M15="",M16="",M17=""),"",AVERAGE(M13:M17))</f>
        <v>1.4</v>
      </c>
      <c r="N18" s="278">
        <f t="shared" si="0"/>
        <v>2</v>
      </c>
      <c r="O18" s="278">
        <f t="shared" si="0"/>
        <v>1.6</v>
      </c>
      <c r="P18" s="278">
        <f t="shared" si="0"/>
        <v>0.4</v>
      </c>
      <c r="Q18" s="278">
        <f t="shared" si="0"/>
        <v>0</v>
      </c>
      <c r="R18" s="278">
        <f t="shared" si="0"/>
        <v>0</v>
      </c>
      <c r="S18" s="278">
        <f t="shared" si="0"/>
        <v>0</v>
      </c>
      <c r="T18" s="278">
        <f t="shared" si="0"/>
        <v>2.2000000000000002</v>
      </c>
      <c r="U18" s="278">
        <f t="shared" si="0"/>
        <v>2</v>
      </c>
      <c r="V18" s="278">
        <f t="shared" ref="V18:Z18" si="1">IF(AND(V13="",V14="",V15="",V16="",V17=""),"",AVERAGE(V13:V17))</f>
        <v>2</v>
      </c>
      <c r="W18" s="278">
        <f t="shared" si="1"/>
        <v>1.8</v>
      </c>
      <c r="X18" s="278">
        <f t="shared" si="1"/>
        <v>1.8</v>
      </c>
      <c r="Y18" s="278">
        <f t="shared" si="1"/>
        <v>2</v>
      </c>
      <c r="Z18" s="278">
        <f t="shared" si="1"/>
        <v>1.6</v>
      </c>
      <c r="AA18" s="28"/>
    </row>
    <row r="19" spans="2:27" ht="27" customHeight="1" x14ac:dyDescent="0.25">
      <c r="G19" s="110"/>
      <c r="H19" s="110"/>
      <c r="I19" s="110"/>
      <c r="K19" s="299" t="s">
        <v>103</v>
      </c>
      <c r="L19" s="300">
        <f>'END REPORT'!C51</f>
        <v>1.8532800000000003</v>
      </c>
      <c r="M19" s="300">
        <f>'END REPORT'!D51</f>
        <v>0.47736000000000006</v>
      </c>
      <c r="N19" s="300">
        <f>'END REPORT'!E51</f>
        <v>1.8532800000000003</v>
      </c>
      <c r="O19" s="300">
        <f>'END REPORT'!F51</f>
        <v>1.8532800000000003</v>
      </c>
      <c r="P19" s="300">
        <f>'END REPORT'!G51</f>
        <v>0.47736000000000006</v>
      </c>
      <c r="Q19" s="300" t="str">
        <f>'END REPORT'!H51</f>
        <v/>
      </c>
      <c r="R19" s="300" t="str">
        <f>'END REPORT'!I51</f>
        <v/>
      </c>
      <c r="S19" s="300" t="str">
        <f>'END REPORT'!J51</f>
        <v/>
      </c>
      <c r="T19" s="300">
        <f>'END REPORT'!K51</f>
        <v>1.8532800000000003</v>
      </c>
      <c r="U19" s="300">
        <f>'END REPORT'!L51</f>
        <v>1.8532800000000003</v>
      </c>
      <c r="V19" s="300">
        <f>'END REPORT'!M51</f>
        <v>1.8532800000000003</v>
      </c>
      <c r="W19" s="300">
        <f>'END REPORT'!N51</f>
        <v>1.8532800000000003</v>
      </c>
      <c r="X19" s="300">
        <f>'END REPORT'!O51</f>
        <v>1.8532800000000003</v>
      </c>
      <c r="Y19" s="300">
        <f>'END REPORT'!P51</f>
        <v>1.8532800000000003</v>
      </c>
      <c r="Z19" s="300">
        <f>'END REPORT'!Q51</f>
        <v>1.8532800000000003</v>
      </c>
      <c r="AA19" s="28"/>
    </row>
    <row r="20" spans="2:27" ht="37.5" customHeight="1" x14ac:dyDescent="0.25">
      <c r="K20" s="237"/>
      <c r="L20" s="238"/>
      <c r="M20" s="238"/>
      <c r="N20" s="238"/>
      <c r="O20" s="238"/>
      <c r="P20" s="238"/>
      <c r="Q20" s="238"/>
      <c r="R20" s="238"/>
      <c r="S20" s="238"/>
      <c r="T20" s="238"/>
      <c r="U20" s="238"/>
      <c r="V20" s="238"/>
      <c r="W20" s="238"/>
      <c r="X20" s="238"/>
      <c r="Y20" s="238"/>
      <c r="Z20" s="238"/>
    </row>
    <row r="24" spans="2:27" x14ac:dyDescent="0.25">
      <c r="H24" s="70"/>
    </row>
    <row r="50" spans="3:33" x14ac:dyDescent="0.25">
      <c r="L50" t="s">
        <v>104</v>
      </c>
      <c r="Q50" t="s">
        <v>84</v>
      </c>
    </row>
    <row r="51" spans="3:33" x14ac:dyDescent="0.25">
      <c r="C51" t="s">
        <v>104</v>
      </c>
      <c r="G51" t="s">
        <v>84</v>
      </c>
    </row>
    <row r="52" spans="3:33" x14ac:dyDescent="0.25">
      <c r="K52" s="528" t="s">
        <v>105</v>
      </c>
      <c r="L52" s="528"/>
      <c r="M52" s="528"/>
      <c r="N52" s="528"/>
      <c r="O52" s="528"/>
      <c r="P52" s="528"/>
      <c r="Q52" s="528"/>
      <c r="R52" s="528"/>
      <c r="S52" s="528"/>
      <c r="T52" s="528"/>
      <c r="U52" s="528"/>
      <c r="V52" s="528"/>
      <c r="W52" s="528"/>
    </row>
    <row r="53" spans="3:33" x14ac:dyDescent="0.25">
      <c r="W53" s="528"/>
      <c r="X53" s="528"/>
      <c r="Y53" s="528"/>
      <c r="Z53" s="528"/>
      <c r="AA53" s="528"/>
      <c r="AB53" s="528"/>
      <c r="AC53" s="528"/>
      <c r="AD53" s="528"/>
      <c r="AE53" s="528"/>
      <c r="AF53" s="528"/>
      <c r="AG53" s="528"/>
    </row>
  </sheetData>
  <mergeCells count="17">
    <mergeCell ref="C1:M1"/>
    <mergeCell ref="C2:M2"/>
    <mergeCell ref="C3:M3"/>
    <mergeCell ref="C4:M4"/>
    <mergeCell ref="B13:H13"/>
    <mergeCell ref="G5:I5"/>
    <mergeCell ref="G6:I6"/>
    <mergeCell ref="C10:F10"/>
    <mergeCell ref="K52:W52"/>
    <mergeCell ref="N9:R9"/>
    <mergeCell ref="L10:R10"/>
    <mergeCell ref="B12:H12"/>
    <mergeCell ref="W53:AG53"/>
    <mergeCell ref="B14:H14"/>
    <mergeCell ref="B15:H15"/>
    <mergeCell ref="B16:H16"/>
    <mergeCell ref="G17:H17"/>
  </mergeCells>
  <phoneticPr fontId="58" type="noConversion"/>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38"/>
  <sheetViews>
    <sheetView topLeftCell="A5" zoomScale="91" zoomScaleNormal="91" workbookViewId="0">
      <selection activeCell="E22" sqref="E22"/>
    </sheetView>
  </sheetViews>
  <sheetFormatPr defaultRowHeight="15" x14ac:dyDescent="0.25"/>
  <cols>
    <col min="2" max="2" width="9.140625" customWidth="1"/>
    <col min="3" max="3" width="49.85546875" customWidth="1"/>
    <col min="4" max="4" width="10.85546875" customWidth="1"/>
    <col min="5" max="5" width="10.5703125" customWidth="1"/>
    <col min="6" max="6" width="50.5703125" customWidth="1"/>
  </cols>
  <sheetData>
    <row r="1" spans="1:21" x14ac:dyDescent="0.25">
      <c r="B1" s="331" t="str">
        <f>final!C1</f>
        <v>JAYARAJ ANNAPACKIAM C. S. I. COLLEGE OF ENGINEERING</v>
      </c>
      <c r="C1" s="331"/>
      <c r="D1" s="331"/>
      <c r="E1" s="331"/>
      <c r="F1" s="331"/>
      <c r="G1" s="331"/>
      <c r="H1" s="331"/>
      <c r="I1" s="331"/>
      <c r="J1" s="331"/>
      <c r="K1" s="331"/>
      <c r="L1" s="331"/>
    </row>
    <row r="2" spans="1:21" x14ac:dyDescent="0.25">
      <c r="B2" s="543" t="str">
        <f>final!C2</f>
        <v>(Approved by AICTE, New Delhi and Affiliated to Anna University)</v>
      </c>
      <c r="C2" s="543"/>
      <c r="D2" s="543"/>
      <c r="E2" s="543"/>
      <c r="F2" s="543"/>
      <c r="G2" s="543"/>
      <c r="H2" s="543"/>
      <c r="I2" s="543"/>
      <c r="J2" s="543"/>
      <c r="K2" s="543"/>
      <c r="L2" s="543"/>
    </row>
    <row r="3" spans="1:21" x14ac:dyDescent="0.25">
      <c r="B3" s="331" t="str">
        <f>final!C3</f>
        <v>MARGOSCHIS NAGAR, NAZARETH - 628 617</v>
      </c>
      <c r="C3" s="331"/>
      <c r="D3" s="331"/>
      <c r="E3" s="331"/>
      <c r="F3" s="331"/>
      <c r="G3" s="331"/>
      <c r="H3" s="331"/>
      <c r="I3" s="331"/>
      <c r="J3" s="331"/>
      <c r="K3" s="331"/>
      <c r="L3" s="331"/>
    </row>
    <row r="4" spans="1:21" x14ac:dyDescent="0.25">
      <c r="B4" s="331" t="str">
        <f>final!C4</f>
        <v>DEPARTMENT OF ARTIFICIAL INTELLIGENCE AND DATA SCIENCE</v>
      </c>
      <c r="C4" s="331"/>
      <c r="D4" s="331"/>
      <c r="E4" s="331"/>
      <c r="F4" s="331"/>
      <c r="G4" s="331"/>
      <c r="H4" s="331"/>
      <c r="I4" s="331"/>
      <c r="J4" s="331"/>
      <c r="K4" s="331"/>
      <c r="L4" s="331"/>
    </row>
    <row r="5" spans="1:21" x14ac:dyDescent="0.25">
      <c r="B5" s="331" t="s">
        <v>152</v>
      </c>
      <c r="C5" s="331"/>
      <c r="D5" s="331"/>
      <c r="E5" s="331"/>
      <c r="F5" s="331"/>
      <c r="G5" s="331"/>
      <c r="H5" s="331"/>
      <c r="I5" s="331"/>
      <c r="J5" s="331"/>
      <c r="K5" s="331"/>
      <c r="L5" s="331"/>
    </row>
    <row r="6" spans="1:21" x14ac:dyDescent="0.25">
      <c r="B6" s="331" t="str">
        <f>final!G6</f>
        <v>ACADEMIC YEAR 2025-26  (ODD SEM)</v>
      </c>
      <c r="C6" s="331"/>
      <c r="D6" s="331"/>
      <c r="E6" s="331"/>
      <c r="F6" s="331"/>
      <c r="G6" s="331"/>
      <c r="H6" s="331"/>
      <c r="I6" s="331"/>
      <c r="J6" s="331"/>
      <c r="K6" s="331"/>
      <c r="L6" s="331"/>
    </row>
    <row r="7" spans="1:21" x14ac:dyDescent="0.25">
      <c r="B7" s="1"/>
      <c r="C7" s="1"/>
      <c r="D7" s="1"/>
      <c r="E7" s="1"/>
      <c r="F7" s="1"/>
      <c r="G7" s="1"/>
      <c r="H7" s="1"/>
      <c r="I7" s="1"/>
      <c r="J7" s="1"/>
      <c r="K7" s="1"/>
      <c r="L7" s="1"/>
    </row>
    <row r="8" spans="1:21" ht="15.75" x14ac:dyDescent="0.25">
      <c r="A8" s="10" t="str">
        <f>'BL-1'!A8:H8</f>
        <v>COURSE CODE / NAME: CW3551 DATA AND INFORMATION SECURITY</v>
      </c>
      <c r="B8" s="11"/>
      <c r="C8" s="11"/>
      <c r="D8" s="11"/>
      <c r="E8" s="11"/>
      <c r="F8" s="11"/>
      <c r="G8" s="11" t="str">
        <f>'BL-1'!I9</f>
        <v>CLASS  : III ADS</v>
      </c>
      <c r="H8" s="11"/>
      <c r="J8" s="11"/>
      <c r="K8" s="11" t="str">
        <f>'BL-1'!I8</f>
        <v>BATCH: 2023-2027</v>
      </c>
      <c r="L8" s="11"/>
      <c r="O8" s="11" t="str">
        <f>'BL-1'!M8</f>
        <v>SEM:05</v>
      </c>
      <c r="T8" s="22"/>
      <c r="U8" s="22"/>
    </row>
    <row r="9" spans="1:21" ht="15.75" x14ac:dyDescent="0.25">
      <c r="A9" s="10" t="str">
        <f>'BL-1'!A9:H9</f>
        <v>COURSE INSTRUCTOR/DESIGNATION: G. ALISHA EVANGELINE,AP/ADS</v>
      </c>
      <c r="B9" s="11"/>
      <c r="C9" s="11"/>
      <c r="D9" s="11"/>
      <c r="F9" s="10"/>
      <c r="G9" s="10"/>
      <c r="J9" s="11"/>
      <c r="K9" s="11"/>
      <c r="L9" s="11"/>
      <c r="M9" s="92"/>
      <c r="N9" s="408" t="s">
        <v>144</v>
      </c>
      <c r="O9" s="408"/>
      <c r="P9" s="408"/>
      <c r="Q9" s="408"/>
      <c r="R9" s="408"/>
      <c r="S9" s="88">
        <f>'IAT-1'!$Z$9</f>
        <v>57</v>
      </c>
      <c r="T9" s="22"/>
      <c r="U9" s="22"/>
    </row>
    <row r="13" spans="1:21" ht="21.75" customHeight="1" x14ac:dyDescent="0.25">
      <c r="A13" s="550" t="s">
        <v>6</v>
      </c>
      <c r="B13" s="550" t="s">
        <v>50</v>
      </c>
      <c r="C13" s="550" t="s">
        <v>111</v>
      </c>
      <c r="D13" s="552" t="s">
        <v>112</v>
      </c>
      <c r="E13" s="553"/>
      <c r="F13" s="554" t="s">
        <v>113</v>
      </c>
    </row>
    <row r="14" spans="1:21" x14ac:dyDescent="0.25">
      <c r="A14" s="551"/>
      <c r="B14" s="551"/>
      <c r="C14" s="551"/>
      <c r="D14" s="76" t="s">
        <v>114</v>
      </c>
      <c r="E14" s="77" t="s">
        <v>115</v>
      </c>
      <c r="F14" s="555"/>
    </row>
    <row r="15" spans="1:21" ht="88.5" customHeight="1" x14ac:dyDescent="0.25">
      <c r="A15" s="78" t="s">
        <v>116</v>
      </c>
      <c r="B15" s="79" t="s">
        <v>52</v>
      </c>
      <c r="C15" s="80" t="s">
        <v>128</v>
      </c>
      <c r="D15" s="71"/>
      <c r="E15" s="71">
        <f>HLOOKUP(B15,final!$L$12:$Z$20,8,0)</f>
        <v>1.8532800000000003</v>
      </c>
      <c r="F15" s="18"/>
    </row>
    <row r="16" spans="1:21" ht="51" x14ac:dyDescent="0.25">
      <c r="A16" s="78" t="s">
        <v>117</v>
      </c>
      <c r="B16" s="78" t="s">
        <v>53</v>
      </c>
      <c r="C16" s="80" t="s">
        <v>129</v>
      </c>
      <c r="D16" s="71"/>
      <c r="E16" s="71">
        <f>HLOOKUP(B16,final!$L$12:$Z$20,8,0)</f>
        <v>0.47736000000000006</v>
      </c>
      <c r="F16" s="18"/>
    </row>
    <row r="17" spans="1:22" ht="63.75" x14ac:dyDescent="0.25">
      <c r="A17" s="79" t="s">
        <v>118</v>
      </c>
      <c r="B17" s="79" t="s">
        <v>54</v>
      </c>
      <c r="C17" s="80" t="s">
        <v>130</v>
      </c>
      <c r="D17" s="71"/>
      <c r="E17" s="71">
        <f>HLOOKUP(B17,final!$L$12:$Z$20,8,0)</f>
        <v>1.8532800000000003</v>
      </c>
      <c r="F17" s="80"/>
    </row>
    <row r="18" spans="1:22" ht="51" x14ac:dyDescent="0.25">
      <c r="A18" s="79" t="s">
        <v>119</v>
      </c>
      <c r="B18" s="79" t="s">
        <v>55</v>
      </c>
      <c r="C18" s="80" t="s">
        <v>131</v>
      </c>
      <c r="D18" s="71"/>
      <c r="E18" s="71">
        <f>HLOOKUP(B18,final!$L$12:$Z$20,8,0)</f>
        <v>1.8532800000000003</v>
      </c>
      <c r="F18" s="18"/>
    </row>
    <row r="19" spans="1:22" ht="51" x14ac:dyDescent="0.25">
      <c r="A19" s="79" t="s">
        <v>120</v>
      </c>
      <c r="B19" s="79" t="s">
        <v>56</v>
      </c>
      <c r="C19" s="80" t="s">
        <v>132</v>
      </c>
      <c r="D19" s="71"/>
      <c r="E19" s="71">
        <f>HLOOKUP(B19,final!$L$12:$Z$20,8,0)</f>
        <v>0.47736000000000006</v>
      </c>
      <c r="F19" s="18"/>
    </row>
    <row r="20" spans="1:22" ht="51" x14ac:dyDescent="0.25">
      <c r="A20" s="79" t="s">
        <v>121</v>
      </c>
      <c r="B20" s="79" t="s">
        <v>62</v>
      </c>
      <c r="C20" s="80" t="s">
        <v>133</v>
      </c>
      <c r="D20" s="71"/>
      <c r="E20" s="71" t="str">
        <f>HLOOKUP(B20,final!$L$12:$Z$20,8,0)</f>
        <v/>
      </c>
      <c r="F20" s="18"/>
    </row>
    <row r="21" spans="1:22" ht="51" x14ac:dyDescent="0.25">
      <c r="A21" s="79" t="s">
        <v>122</v>
      </c>
      <c r="B21" s="79" t="s">
        <v>63</v>
      </c>
      <c r="C21" s="80" t="s">
        <v>134</v>
      </c>
      <c r="D21" s="71"/>
      <c r="E21" s="71" t="str">
        <f>HLOOKUP(B21,final!$L$12:$Z$20,8,0)</f>
        <v/>
      </c>
      <c r="F21" s="18"/>
    </row>
    <row r="22" spans="1:22" ht="38.25" x14ac:dyDescent="0.25">
      <c r="A22" s="79" t="s">
        <v>123</v>
      </c>
      <c r="B22" s="79" t="s">
        <v>64</v>
      </c>
      <c r="C22" s="80" t="s">
        <v>135</v>
      </c>
      <c r="D22" s="71"/>
      <c r="E22" s="71" t="str">
        <f>HLOOKUP(B22,final!$L$12:$Z$20,8,0)</f>
        <v/>
      </c>
      <c r="F22" s="18"/>
      <c r="J22" s="28"/>
      <c r="K22" s="40"/>
      <c r="L22" s="40"/>
      <c r="M22" s="40"/>
      <c r="N22" s="40"/>
      <c r="O22" s="40"/>
      <c r="P22" s="40"/>
      <c r="Q22" s="40"/>
      <c r="R22" s="40"/>
      <c r="S22" s="40"/>
      <c r="T22" s="40"/>
      <c r="U22" s="40"/>
      <c r="V22" s="28"/>
    </row>
    <row r="23" spans="1:22" ht="38.25" x14ac:dyDescent="0.25">
      <c r="A23" s="79" t="s">
        <v>124</v>
      </c>
      <c r="B23" s="79" t="s">
        <v>65</v>
      </c>
      <c r="C23" s="80" t="s">
        <v>136</v>
      </c>
      <c r="D23" s="71"/>
      <c r="E23" s="71">
        <f>HLOOKUP(B23,final!$L$12:$Z$20,8,0)</f>
        <v>1.8532800000000003</v>
      </c>
      <c r="F23" s="18"/>
    </row>
    <row r="24" spans="1:22" ht="76.5" x14ac:dyDescent="0.25">
      <c r="A24" s="79" t="s">
        <v>125</v>
      </c>
      <c r="B24" s="79" t="s">
        <v>66</v>
      </c>
      <c r="C24" s="80" t="s">
        <v>137</v>
      </c>
      <c r="D24" s="71"/>
      <c r="E24" s="71">
        <f>HLOOKUP(B24,final!$L$12:$Z$20,8,0)</f>
        <v>1.8532800000000003</v>
      </c>
      <c r="F24" s="18"/>
    </row>
    <row r="25" spans="1:22" ht="63.75" x14ac:dyDescent="0.25">
      <c r="A25" s="79" t="s">
        <v>126</v>
      </c>
      <c r="B25" s="79" t="s">
        <v>57</v>
      </c>
      <c r="C25" s="80" t="s">
        <v>138</v>
      </c>
      <c r="D25" s="71"/>
      <c r="E25" s="71">
        <f>HLOOKUP(B25,final!$L$12:$Z$20,8,0)</f>
        <v>1.8532800000000003</v>
      </c>
      <c r="F25" s="18"/>
    </row>
    <row r="26" spans="1:22" ht="38.25" x14ac:dyDescent="0.25">
      <c r="A26" s="79" t="s">
        <v>127</v>
      </c>
      <c r="B26" s="79" t="s">
        <v>58</v>
      </c>
      <c r="C26" s="80" t="s">
        <v>139</v>
      </c>
      <c r="D26" s="71"/>
      <c r="E26" s="71">
        <f>HLOOKUP(B26,final!$L$12:$Z$20,8,0)</f>
        <v>1.8532800000000003</v>
      </c>
      <c r="F26" s="18"/>
    </row>
    <row r="27" spans="1:22" ht="45" x14ac:dyDescent="0.25">
      <c r="A27" s="79">
        <v>1</v>
      </c>
      <c r="B27" s="79" t="s">
        <v>59</v>
      </c>
      <c r="C27" s="81" t="s">
        <v>301</v>
      </c>
      <c r="D27" s="544"/>
      <c r="E27" s="544">
        <f>HLOOKUP(B27,final!$L$12:$Z$20,8,0)</f>
        <v>1.8532800000000003</v>
      </c>
      <c r="F27" s="547"/>
    </row>
    <row r="28" spans="1:22" ht="30" x14ac:dyDescent="0.25">
      <c r="A28" s="79">
        <v>2</v>
      </c>
      <c r="B28" s="79" t="s">
        <v>59</v>
      </c>
      <c r="C28" s="82" t="s">
        <v>302</v>
      </c>
      <c r="D28" s="545"/>
      <c r="E28" s="545"/>
      <c r="F28" s="548"/>
    </row>
    <row r="29" spans="1:22" ht="60" x14ac:dyDescent="0.25">
      <c r="A29" s="79">
        <v>3</v>
      </c>
      <c r="B29" s="79" t="s">
        <v>59</v>
      </c>
      <c r="C29" s="82" t="s">
        <v>303</v>
      </c>
      <c r="D29" s="546"/>
      <c r="E29" s="546"/>
      <c r="F29" s="549"/>
    </row>
    <row r="30" spans="1:22" ht="60" x14ac:dyDescent="0.25">
      <c r="A30" s="79">
        <v>4</v>
      </c>
      <c r="B30" s="79" t="s">
        <v>60</v>
      </c>
      <c r="C30" s="82" t="s">
        <v>304</v>
      </c>
      <c r="D30" s="71"/>
      <c r="E30" s="71">
        <f>HLOOKUP(B28,final!$L$12:$Z$20,8,0)</f>
        <v>1.8532800000000003</v>
      </c>
      <c r="F30" s="79"/>
    </row>
    <row r="31" spans="1:22" ht="45" x14ac:dyDescent="0.25">
      <c r="A31" s="79">
        <v>5</v>
      </c>
      <c r="B31" s="79" t="s">
        <v>109</v>
      </c>
      <c r="C31" s="82" t="s">
        <v>305</v>
      </c>
      <c r="D31" s="71"/>
      <c r="E31" s="71">
        <f>HLOOKUP(B29,final!$L$12:$Z$20,8,0)</f>
        <v>1.8532800000000003</v>
      </c>
      <c r="F31" s="79"/>
    </row>
    <row r="35" spans="2:14" x14ac:dyDescent="0.25">
      <c r="D35" s="25"/>
      <c r="E35" s="25"/>
      <c r="F35" s="25"/>
      <c r="G35" s="25"/>
      <c r="H35" s="25"/>
      <c r="I35" s="25"/>
      <c r="J35" s="25"/>
      <c r="K35" s="25"/>
      <c r="L35" s="25"/>
      <c r="M35" s="25"/>
      <c r="N35" s="25"/>
    </row>
    <row r="38" spans="2:14" ht="15.75" x14ac:dyDescent="0.25">
      <c r="B38" s="73" t="s">
        <v>104</v>
      </c>
      <c r="C38" s="73"/>
      <c r="D38" s="73"/>
      <c r="E38" s="73"/>
      <c r="F38" s="73" t="s">
        <v>84</v>
      </c>
    </row>
  </sheetData>
  <mergeCells count="15">
    <mergeCell ref="E27:E29"/>
    <mergeCell ref="D27:D29"/>
    <mergeCell ref="F27:F29"/>
    <mergeCell ref="A13:A14"/>
    <mergeCell ref="B13:B14"/>
    <mergeCell ref="C13:C14"/>
    <mergeCell ref="D13:E13"/>
    <mergeCell ref="F13:F14"/>
    <mergeCell ref="N9:R9"/>
    <mergeCell ref="B6:L6"/>
    <mergeCell ref="B1:L1"/>
    <mergeCell ref="B2:L2"/>
    <mergeCell ref="B3:L3"/>
    <mergeCell ref="B4:L4"/>
    <mergeCell ref="B5:L5"/>
  </mergeCells>
  <phoneticPr fontId="58"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B5F624-DE9C-4A51-B589-94CC78A9D7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8</vt:i4>
      </vt:variant>
    </vt:vector>
  </HeadingPairs>
  <TitlesOfParts>
    <vt:vector size="26" baseType="lpstr">
      <vt:lpstr>BL-1</vt:lpstr>
      <vt:lpstr>BL-2</vt:lpstr>
      <vt:lpstr>BL-3</vt:lpstr>
      <vt:lpstr>I1</vt:lpstr>
      <vt:lpstr>I2</vt:lpstr>
      <vt:lpstr>I3</vt:lpstr>
      <vt:lpstr>IAT-1</vt:lpstr>
      <vt:lpstr>IAT-2</vt:lpstr>
      <vt:lpstr>IAT-3</vt:lpstr>
      <vt:lpstr>IAT-REPORT</vt:lpstr>
      <vt:lpstr>Sheet1</vt:lpstr>
      <vt:lpstr>RUBRICS</vt:lpstr>
      <vt:lpstr>UNIV</vt:lpstr>
      <vt:lpstr>COURSE END SURVEY</vt:lpstr>
      <vt:lpstr>OVERALL CO ATT</vt:lpstr>
      <vt:lpstr>END REPORT</vt:lpstr>
      <vt:lpstr>final</vt:lpstr>
      <vt:lpstr>CURR.GAP</vt:lpstr>
      <vt:lpstr>'I1'!_GoBack</vt:lpstr>
      <vt:lpstr>'I2'!_GoBack</vt:lpstr>
      <vt:lpstr>'IAT-1'!OLE_LINK1</vt:lpstr>
      <vt:lpstr>'I1'!OLE_LINK5</vt:lpstr>
      <vt:lpstr>'I2'!OLE_LINK5</vt:lpstr>
      <vt:lpstr>'END REPORT'!Print_Area</vt:lpstr>
      <vt:lpstr>'I1'!Print_Area</vt:lpstr>
      <vt:lpstr>'I2'!Print_Area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Jenifer John</dc:creator>
  <cp:lastModifiedBy>Administrator</cp:lastModifiedBy>
  <cp:lastPrinted>2022-11-09T06:29:16Z</cp:lastPrinted>
  <dcterms:created xsi:type="dcterms:W3CDTF">2020-06-18T12:14:11Z</dcterms:created>
  <dcterms:modified xsi:type="dcterms:W3CDTF">2026-06-03T07:24:14Z</dcterms:modified>
</cp:coreProperties>
</file>